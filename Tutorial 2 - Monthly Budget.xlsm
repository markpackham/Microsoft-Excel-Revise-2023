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ites\Microsoft Excel Revise 2023\"/>
    </mc:Choice>
  </mc:AlternateContent>
  <xr:revisionPtr revIDLastSave="0" documentId="13_ncr:1_{D96F70EB-6C73-495E-BB4A-30F17EFEADDE}" xr6:coauthVersionLast="47" xr6:coauthVersionMax="47" xr10:uidLastSave="{00000000-0000-0000-0000-000000000000}"/>
  <bookViews>
    <workbookView xWindow="18555" yWindow="0" windowWidth="19845" windowHeight="15480" activeTab="4" xr2:uid="{60136F85-292E-4C74-B19C-2002ECD97CCF}"/>
  </bookViews>
  <sheets>
    <sheet name="BUDGET" sheetId="1" r:id="rId1"/>
    <sheet name="QTRBUDGET" sheetId="2" r:id="rId2"/>
    <sheet name="Scenario Summary" sheetId="6" r:id="rId3"/>
    <sheet name="WHAT" sheetId="4" r:id="rId4"/>
    <sheet name="CUSTOMERS" sheetId="5" r:id="rId5"/>
    <sheet name="WHATIF" sheetId="3" state="hidden" r:id="rId6"/>
  </sheets>
  <externalReferences>
    <externalReference r:id="rId7"/>
  </externalReferences>
  <definedNames>
    <definedName name="_xlnm._FilterDatabase" localSheetId="4" hidden="1">CUSTOMERS!$A$1:$L$1</definedName>
    <definedName name="CurrAvail">WHAT!$F$16:$F$17</definedName>
    <definedName name="CurrUsage">WHAT!$E$16:$E$17</definedName>
    <definedName name="E_M_1">[1]BUDGET!$H$6:$H$10</definedName>
    <definedName name="E_M_2">[1]BUDGET!$I$6:$I$10</definedName>
    <definedName name="E_M_3">[1]BUDGET!$J$6:$J$10</definedName>
    <definedName name="en_m_1">BUDGET!$G$5:$G$9</definedName>
    <definedName name="en_m_2">BUDGET!$H$5:$H$9</definedName>
    <definedName name="en_m_3">BUDGET!$I$5:$I$9</definedName>
    <definedName name="H_M_2">[1]BUDGET!$D$11:$D$18</definedName>
    <definedName name="H_M_3">[1]BUDGET!$E$11:$E$18</definedName>
    <definedName name="H_Mon_1">[1]BUDGET!$C$11:$C$18</definedName>
    <definedName name="ho_m_1">BUDGET!$B$10:$B$17</definedName>
    <definedName name="ho_m_2">BUDGET!$C$10:$C$17</definedName>
    <definedName name="ho_m_3">BUDGET!$D$10:$D$17</definedName>
    <definedName name="I_M_1">[1]BUDGET!$C$26:$C$29</definedName>
    <definedName name="I_M_2">[1]BUDGET!$D$26:$D$29</definedName>
    <definedName name="I_M_3">[1]BUDGET!$E$26:$E$29</definedName>
    <definedName name="in_m_1">BUDGET!$B$25:$B$28</definedName>
    <definedName name="in_m_2">BUDGET!$C$25:$C$28</definedName>
    <definedName name="in_m_3">BUDGET!$D$25:$D$28</definedName>
    <definedName name="L_M_1">[1]BUDGET!$H$13</definedName>
    <definedName name="L_M_2">[1]BUDGET!$I$13</definedName>
    <definedName name="L_M_3">[1]BUDGET!$J$13</definedName>
    <definedName name="lo_m_1">BUDGET!$G$12</definedName>
    <definedName name="lo_m_2">BUDGET!$H$12</definedName>
    <definedName name="lo_m_3">BUDGET!$I$12</definedName>
    <definedName name="PerUnitProfit">WHAT!$B$14:$D$14</definedName>
    <definedName name="solver_adj" localSheetId="3" hidden="1">WHAT!$B$20:$D$20</definedName>
    <definedName name="solver_cvg" localSheetId="3" hidden="1">0.0001</definedName>
    <definedName name="solver_drv" localSheetId="3" hidden="1">1</definedName>
    <definedName name="solver_eng" localSheetId="3" hidden="1">2</definedName>
    <definedName name="solver_est" localSheetId="3" hidden="1">1</definedName>
    <definedName name="solver_itr" localSheetId="3" hidden="1">2147483647</definedName>
    <definedName name="solver_lhs1" localSheetId="3" hidden="1">WHAT!$E$16:$E$17</definedName>
    <definedName name="solver_lhs2" localSheetId="3" hidden="1">WHAT!$E$16:$E$17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1</definedName>
    <definedName name="solver_nwt" localSheetId="3" hidden="1">1</definedName>
    <definedName name="solver_opt" localSheetId="3" hidden="1">WHAT!$F$20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2" localSheetId="3" hidden="1">1</definedName>
    <definedName name="solver_rhs1" localSheetId="3" hidden="1">CurrAvail</definedName>
    <definedName name="solver_rhs2" localSheetId="3" hidden="1">CurrAvail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  <definedName name="T_M_1">[1]BUDGET!$C$21:$C$23</definedName>
    <definedName name="T_M_2">[1]BUDGET!$D$21:$D$23</definedName>
    <definedName name="T_M_3">[1]BUDGET!$E$21:$E$23</definedName>
    <definedName name="TotProfit">WHAT!$F$20</definedName>
    <definedName name="tr_m_1">BUDGET!$B$20:$B$22</definedName>
    <definedName name="tr_m_2">BUDGET!$C$20:$C$22</definedName>
    <definedName name="tr_m_3">BUDGET!$D$20:$D$22</definedName>
    <definedName name="Units2Order">WHAT!$B$20:$D$20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9" i="4" l="1"/>
  <c r="E17" i="4"/>
  <c r="E16" i="4"/>
  <c r="B27" i="4" l="1"/>
  <c r="B11" i="4"/>
  <c r="B10" i="4"/>
  <c r="B9" i="4"/>
  <c r="B4" i="4"/>
  <c r="O6" i="1"/>
  <c r="O7" i="1"/>
  <c r="O8" i="1"/>
  <c r="O9" i="1"/>
  <c r="O10" i="1"/>
  <c r="O11" i="1"/>
  <c r="O12" i="1"/>
  <c r="O13" i="1"/>
  <c r="O14" i="1"/>
  <c r="O15" i="1"/>
  <c r="O16" i="1"/>
  <c r="O5" i="1"/>
  <c r="I32" i="1"/>
  <c r="F36" i="1"/>
  <c r="F35" i="1"/>
  <c r="G33" i="1"/>
  <c r="I30" i="1"/>
  <c r="F20" i="4"/>
  <c r="M31" i="1"/>
  <c r="G15" i="1"/>
  <c r="H32" i="1"/>
  <c r="N31" i="1"/>
  <c r="I29" i="1"/>
  <c r="I21" i="1" s="1"/>
  <c r="I28" i="1"/>
  <c r="H30" i="1"/>
  <c r="H29" i="1"/>
  <c r="H28" i="1"/>
  <c r="I27" i="1"/>
  <c r="H27" i="1"/>
  <c r="G30" i="1"/>
  <c r="G29" i="1"/>
  <c r="G28" i="1"/>
  <c r="G27" i="1"/>
  <c r="I26" i="1"/>
  <c r="H26" i="1"/>
  <c r="H21" i="1" s="1"/>
  <c r="G26" i="1"/>
  <c r="N30" i="1"/>
  <c r="M30" i="1"/>
  <c r="L30" i="1"/>
  <c r="N29" i="1"/>
  <c r="M29" i="1"/>
  <c r="L29" i="1"/>
  <c r="N28" i="1"/>
  <c r="M28" i="1"/>
  <c r="L28" i="1"/>
  <c r="N27" i="1"/>
  <c r="M27" i="1"/>
  <c r="L27" i="1"/>
  <c r="N26" i="1"/>
  <c r="M26" i="1"/>
  <c r="L26" i="1"/>
  <c r="N25" i="1"/>
  <c r="M25" i="1"/>
  <c r="L25" i="1"/>
  <c r="N24" i="1"/>
  <c r="M24" i="1"/>
  <c r="L24" i="1"/>
  <c r="N23" i="1"/>
  <c r="M23" i="1"/>
  <c r="L23" i="1"/>
  <c r="N22" i="1"/>
  <c r="M22" i="1"/>
  <c r="L22" i="1"/>
  <c r="N21" i="1"/>
  <c r="M21" i="1"/>
  <c r="L21" i="1"/>
  <c r="N20" i="1"/>
  <c r="M20" i="1"/>
  <c r="L20" i="1"/>
  <c r="L31" i="1" s="1"/>
  <c r="N19" i="1"/>
  <c r="M19" i="1"/>
  <c r="L19" i="1"/>
  <c r="O30" i="1"/>
  <c r="O29" i="1"/>
  <c r="O28" i="1"/>
  <c r="O27" i="1"/>
  <c r="O26" i="1"/>
  <c r="O25" i="1"/>
  <c r="O24" i="1"/>
  <c r="O23" i="1"/>
  <c r="O22" i="1"/>
  <c r="O21" i="1"/>
  <c r="O20" i="1"/>
  <c r="O19" i="1"/>
  <c r="N16" i="1"/>
  <c r="M16" i="1"/>
  <c r="L16" i="1"/>
  <c r="P16" i="1" s="1"/>
  <c r="I16" i="1"/>
  <c r="H16" i="1"/>
  <c r="G16" i="1"/>
  <c r="M12" i="1"/>
  <c r="L12" i="1"/>
  <c r="P11" i="1"/>
  <c r="N11" i="1"/>
  <c r="M11" i="1"/>
  <c r="L11" i="1"/>
  <c r="D7" i="1"/>
  <c r="N10" i="1" s="1"/>
  <c r="C7" i="1"/>
  <c r="M5" i="1" s="1"/>
  <c r="B7" i="1"/>
  <c r="L5" i="1" s="1"/>
  <c r="P5" i="1" s="1"/>
  <c r="P6" i="1"/>
  <c r="N6" i="1"/>
  <c r="M6" i="1"/>
  <c r="L6" i="1"/>
  <c r="N5" i="1"/>
  <c r="O31" i="1" l="1"/>
  <c r="P21" i="1" s="1"/>
  <c r="I17" i="1"/>
  <c r="I18" i="1"/>
  <c r="G17" i="1"/>
  <c r="N13" i="1"/>
  <c r="L8" i="1"/>
  <c r="I15" i="1"/>
  <c r="I19" i="1" s="1"/>
  <c r="L13" i="1"/>
  <c r="P13" i="1" s="1"/>
  <c r="M13" i="1"/>
  <c r="G18" i="1"/>
  <c r="H18" i="1"/>
  <c r="L7" i="1"/>
  <c r="P7" i="1" s="1"/>
  <c r="L9" i="1"/>
  <c r="P9" i="1" s="1"/>
  <c r="G19" i="1"/>
  <c r="G21" i="1" s="1"/>
  <c r="M9" i="1"/>
  <c r="H15" i="1"/>
  <c r="L15" i="1"/>
  <c r="P15" i="1" s="1"/>
  <c r="L10" i="1"/>
  <c r="P10" i="1" s="1"/>
  <c r="M15" i="1"/>
  <c r="N12" i="1"/>
  <c r="P12" i="1" s="1"/>
  <c r="H17" i="1"/>
  <c r="L14" i="1"/>
  <c r="P14" i="1" s="1"/>
  <c r="N14" i="1"/>
  <c r="N9" i="1"/>
  <c r="M10" i="1"/>
  <c r="N15" i="1"/>
  <c r="M7" i="1"/>
  <c r="N7" i="1"/>
  <c r="M8" i="1"/>
  <c r="M14" i="1"/>
  <c r="N8" i="1"/>
  <c r="P22" i="1" l="1"/>
  <c r="P23" i="1"/>
  <c r="P24" i="1"/>
  <c r="P25" i="1"/>
  <c r="P26" i="1"/>
  <c r="P27" i="1"/>
  <c r="P28" i="1"/>
  <c r="P29" i="1"/>
  <c r="P30" i="1"/>
  <c r="P20" i="1"/>
  <c r="P8" i="1"/>
  <c r="H19" i="1"/>
  <c r="G23" i="1"/>
  <c r="C2" i="2" s="1"/>
  <c r="P19" i="1" l="1"/>
  <c r="M32" i="1" l="1"/>
  <c r="N32" i="1"/>
</calcChain>
</file>

<file path=xl/sharedStrings.xml><?xml version="1.0" encoding="utf-8"?>
<sst xmlns="http://schemas.openxmlformats.org/spreadsheetml/2006/main" count="377" uniqueCount="305">
  <si>
    <t>MONTHLY BUDGET</t>
  </si>
  <si>
    <t>PROJECTED INCOME</t>
  </si>
  <si>
    <t>ENTERTAINMENT</t>
  </si>
  <si>
    <t>PERCENTAGE OF INCOME</t>
  </si>
  <si>
    <t>Income</t>
  </si>
  <si>
    <t>Streaming</t>
  </si>
  <si>
    <t>Phone / Internet</t>
  </si>
  <si>
    <t>Extra Income</t>
  </si>
  <si>
    <t>Music</t>
  </si>
  <si>
    <t>Electricity</t>
  </si>
  <si>
    <t>Total</t>
  </si>
  <si>
    <t>Movies</t>
  </si>
  <si>
    <t>Gas</t>
  </si>
  <si>
    <t>Restaurants</t>
  </si>
  <si>
    <t>Water / Sewer</t>
  </si>
  <si>
    <t>HOUSING</t>
  </si>
  <si>
    <t>Other</t>
  </si>
  <si>
    <t>Food / Supplies</t>
  </si>
  <si>
    <t>Fuel</t>
  </si>
  <si>
    <t>LOANS</t>
  </si>
  <si>
    <t>Car Insurance</t>
  </si>
  <si>
    <t>Credit Card</t>
  </si>
  <si>
    <t>Home Insurance</t>
  </si>
  <si>
    <t>Repairs</t>
  </si>
  <si>
    <t>TAXES</t>
  </si>
  <si>
    <t>Federal</t>
  </si>
  <si>
    <t>Mortgage</t>
  </si>
  <si>
    <t>State</t>
  </si>
  <si>
    <t>Local</t>
  </si>
  <si>
    <t>FICA</t>
  </si>
  <si>
    <t>PERCENTAGE OF EXPENSES</t>
  </si>
  <si>
    <t>TOTAL</t>
  </si>
  <si>
    <t>PERCENT</t>
  </si>
  <si>
    <t>TRANSPORTATION</t>
  </si>
  <si>
    <t>Total Taxes</t>
  </si>
  <si>
    <t>Maintenance</t>
  </si>
  <si>
    <t>Cash Left</t>
  </si>
  <si>
    <t>Average Cash Left</t>
  </si>
  <si>
    <t>INSURANCE</t>
  </si>
  <si>
    <t>Car</t>
  </si>
  <si>
    <t>Health</t>
  </si>
  <si>
    <t>Housing</t>
  </si>
  <si>
    <t>Home</t>
  </si>
  <si>
    <t>Insurance</t>
  </si>
  <si>
    <t>Entertainment</t>
  </si>
  <si>
    <t>Loans</t>
  </si>
  <si>
    <t>Avg %</t>
  </si>
  <si>
    <t>Transportation</t>
  </si>
  <si>
    <t>Lowering Discretionary</t>
  </si>
  <si>
    <t>Decreasing</t>
  </si>
  <si>
    <t># Expenses Lower Qtr</t>
  </si>
  <si>
    <t>Avg Cash Left Qtr 1</t>
  </si>
  <si>
    <t>Loan Amt</t>
  </si>
  <si>
    <t>Laon Term (Months)</t>
  </si>
  <si>
    <t>Interest Rate</t>
  </si>
  <si>
    <t>Payment</t>
  </si>
  <si>
    <t>Monthly Investment</t>
  </si>
  <si>
    <t>Annual Rate</t>
  </si>
  <si>
    <t>Years to Invest</t>
  </si>
  <si>
    <t>Future Investment Value</t>
  </si>
  <si>
    <t>Total Invested</t>
  </si>
  <si>
    <t>Total Interest Earned</t>
  </si>
  <si>
    <t>Expected Return</t>
  </si>
  <si>
    <t>Per Unit Profit</t>
  </si>
  <si>
    <t>Desktop</t>
  </si>
  <si>
    <t>Laptop</t>
  </si>
  <si>
    <t>Tablet</t>
  </si>
  <si>
    <t>Current Usage</t>
  </si>
  <si>
    <t>Current Available</t>
  </si>
  <si>
    <t>Cost</t>
  </si>
  <si>
    <t>Storage</t>
  </si>
  <si>
    <t>Total Profit</t>
  </si>
  <si>
    <t>Units to Order</t>
  </si>
  <si>
    <t>Scenarios</t>
  </si>
  <si>
    <t>Gross Revenue</t>
  </si>
  <si>
    <t>Cost of Goods Sold</t>
  </si>
  <si>
    <t>Gross Profit</t>
  </si>
  <si>
    <t>Sam</t>
  </si>
  <si>
    <t>Malone</t>
  </si>
  <si>
    <t>Proven Supplies</t>
  </si>
  <si>
    <t>madler@icloud.com</t>
  </si>
  <si>
    <t>555-7205</t>
  </si>
  <si>
    <t>Manager</t>
  </si>
  <si>
    <t>15 Tremont St</t>
  </si>
  <si>
    <t>Wilson</t>
  </si>
  <si>
    <t>WY</t>
  </si>
  <si>
    <t>Diane</t>
  </si>
  <si>
    <t>Chambers</t>
  </si>
  <si>
    <t>Guru Supplies</t>
  </si>
  <si>
    <t>gboss@me.com</t>
  </si>
  <si>
    <t>555-6394</t>
  </si>
  <si>
    <t>103 Baxter Rd</t>
  </si>
  <si>
    <t>Clovis</t>
  </si>
  <si>
    <t>NM</t>
  </si>
  <si>
    <t>Lisa</t>
  </si>
  <si>
    <t>Pantusso</t>
  </si>
  <si>
    <t>Targeted Manufacturing</t>
  </si>
  <si>
    <t>wbarker@yahoo.com</t>
  </si>
  <si>
    <t>555-3848</t>
  </si>
  <si>
    <t>Secretary</t>
  </si>
  <si>
    <t>103 Bellevue Ave</t>
  </si>
  <si>
    <t>Ladd</t>
  </si>
  <si>
    <t>IL</t>
  </si>
  <si>
    <t>Carla</t>
  </si>
  <si>
    <t>Tortelli</t>
  </si>
  <si>
    <t>Goodlife Incorporated</t>
  </si>
  <si>
    <t>gravyface@aol.com</t>
  </si>
  <si>
    <t>555-4067</t>
  </si>
  <si>
    <t>103 Bowers St</t>
  </si>
  <si>
    <t>Columbus</t>
  </si>
  <si>
    <t>OH</t>
  </si>
  <si>
    <t>Norm</t>
  </si>
  <si>
    <t>Peterson</t>
  </si>
  <si>
    <t>Innovative Manufacturing</t>
  </si>
  <si>
    <t>dkasak@optonline.net</t>
  </si>
  <si>
    <t>555-9124</t>
  </si>
  <si>
    <t>Accounting</t>
  </si>
  <si>
    <t>103 Brooksby Village Dr</t>
  </si>
  <si>
    <t>Kennard</t>
  </si>
  <si>
    <t>IN</t>
  </si>
  <si>
    <t>Ernie</t>
  </si>
  <si>
    <t>Route Corp</t>
  </si>
  <si>
    <t>atmarks@icloud.com</t>
  </si>
  <si>
    <t>555-9144</t>
  </si>
  <si>
    <t>103 Capn Jacs Rd</t>
  </si>
  <si>
    <t>Linwood</t>
  </si>
  <si>
    <t>KS</t>
  </si>
  <si>
    <t>Cliff</t>
  </si>
  <si>
    <t>Clavin</t>
  </si>
  <si>
    <t>Impact</t>
  </si>
  <si>
    <t>ilikered@sbcglobal.net</t>
  </si>
  <si>
    <t>555-0643</t>
  </si>
  <si>
    <t>Shipping</t>
  </si>
  <si>
    <t>103 Eliot Rd</t>
  </si>
  <si>
    <t>Hampton</t>
  </si>
  <si>
    <t>VA</t>
  </si>
  <si>
    <t>Frasier</t>
  </si>
  <si>
    <t>Crane</t>
  </si>
  <si>
    <t>Byte Corp</t>
  </si>
  <si>
    <t>epeeist@optonline.net</t>
  </si>
  <si>
    <t>555-6746</t>
  </si>
  <si>
    <t>Sales</t>
  </si>
  <si>
    <t>375 Broadway</t>
  </si>
  <si>
    <t>Coldwater</t>
  </si>
  <si>
    <t>MS</t>
  </si>
  <si>
    <t>Woody</t>
  </si>
  <si>
    <t>Boyd</t>
  </si>
  <si>
    <t>Manufacturing Dot</t>
  </si>
  <si>
    <t>dvdotnet@verizon.net</t>
  </si>
  <si>
    <t>555-0556</t>
  </si>
  <si>
    <t>375 Lafayette St</t>
  </si>
  <si>
    <t>Argyle</t>
  </si>
  <si>
    <t>MO</t>
  </si>
  <si>
    <t>Lilith</t>
  </si>
  <si>
    <t>Sternin</t>
  </si>
  <si>
    <t>Hip Incorporated</t>
  </si>
  <si>
    <t>tbmaddux@comcast.net</t>
  </si>
  <si>
    <t>555-1755</t>
  </si>
  <si>
    <t>376 Montague City Rd</t>
  </si>
  <si>
    <t>Boston</t>
  </si>
  <si>
    <t>MA</t>
  </si>
  <si>
    <t>Rebecca</t>
  </si>
  <si>
    <t>Howe</t>
  </si>
  <si>
    <t>Aero Corp</t>
  </si>
  <si>
    <t>jamuir@icloud.com</t>
  </si>
  <si>
    <t>555-2088</t>
  </si>
  <si>
    <t>376 Washington St</t>
  </si>
  <si>
    <t>Cicero</t>
  </si>
  <si>
    <t>Robert</t>
  </si>
  <si>
    <t>Sutton</t>
  </si>
  <si>
    <t>Launchpad Corp</t>
  </si>
  <si>
    <t>thaljef@sbcglobal.net</t>
  </si>
  <si>
    <t>555-3510</t>
  </si>
  <si>
    <t>5140 Washington St</t>
  </si>
  <si>
    <t>Marietta</t>
  </si>
  <si>
    <t>GA</t>
  </si>
  <si>
    <t>Vera</t>
  </si>
  <si>
    <t>Eureka</t>
  </si>
  <si>
    <t>hermes@msn.com</t>
  </si>
  <si>
    <t>555-0486</t>
  </si>
  <si>
    <t>Tech</t>
  </si>
  <si>
    <t>Ellston</t>
  </si>
  <si>
    <t>IA</t>
  </si>
  <si>
    <t>Eddie</t>
  </si>
  <si>
    <t>LeBec</t>
  </si>
  <si>
    <t>Essential Manufacturing</t>
  </si>
  <si>
    <t>duchamp@aol.com</t>
  </si>
  <si>
    <t>555-4242</t>
  </si>
  <si>
    <t>Janitorial</t>
  </si>
  <si>
    <t>515 Walnut St</t>
  </si>
  <si>
    <t>Broken Bow</t>
  </si>
  <si>
    <t>OK</t>
  </si>
  <si>
    <t>Nick</t>
  </si>
  <si>
    <t>Seamless</t>
  </si>
  <si>
    <t>ozawa@mac.com</t>
  </si>
  <si>
    <t>Beaver</t>
  </si>
  <si>
    <t>PA</t>
  </si>
  <si>
    <t>Loretta</t>
  </si>
  <si>
    <t>Feedback Corp</t>
  </si>
  <si>
    <t>stomv@icloud.com</t>
  </si>
  <si>
    <t>Waukesha</t>
  </si>
  <si>
    <t>WI</t>
  </si>
  <si>
    <t>Dave</t>
  </si>
  <si>
    <t>Richards</t>
  </si>
  <si>
    <t>WorryFree Incorporated</t>
  </si>
  <si>
    <t>heckerman@yahoo.com</t>
  </si>
  <si>
    <t>555-4952</t>
  </si>
  <si>
    <t>Marketing</t>
  </si>
  <si>
    <t>517 Chicopee St</t>
  </si>
  <si>
    <t>Cherry Hill</t>
  </si>
  <si>
    <t>NJ</t>
  </si>
  <si>
    <t>Andy</t>
  </si>
  <si>
    <t>Schroeder</t>
  </si>
  <si>
    <t>Lasers Edge</t>
  </si>
  <si>
    <t>chunzi@yahoo.com</t>
  </si>
  <si>
    <t>555-8654</t>
  </si>
  <si>
    <t>517 Patriots Rd</t>
  </si>
  <si>
    <t>Akutan</t>
  </si>
  <si>
    <t>AK</t>
  </si>
  <si>
    <t>Robin</t>
  </si>
  <si>
    <t>Colcord</t>
  </si>
  <si>
    <t>Supplies Shield</t>
  </si>
  <si>
    <t>schumer@yahoo.com</t>
  </si>
  <si>
    <t>555-7372</t>
  </si>
  <si>
    <t>518 Leyden Rd</t>
  </si>
  <si>
    <t>Garden City</t>
  </si>
  <si>
    <t>ID</t>
  </si>
  <si>
    <t>Evan</t>
  </si>
  <si>
    <t>Drake</t>
  </si>
  <si>
    <t>Total Solutions</t>
  </si>
  <si>
    <t>granboul@sbcglobal.net</t>
  </si>
  <si>
    <t>555-4728</t>
  </si>
  <si>
    <t>819 Main St</t>
  </si>
  <si>
    <t>Palisades</t>
  </si>
  <si>
    <t>CA</t>
  </si>
  <si>
    <t>Esther</t>
  </si>
  <si>
    <t>Hero Corp</t>
  </si>
  <si>
    <t>gator@yahoo.ca</t>
  </si>
  <si>
    <t>555-0314</t>
  </si>
  <si>
    <t>82 Brick Kiln Rd</t>
  </si>
  <si>
    <t>McIntyre</t>
  </si>
  <si>
    <t>Walter</t>
  </si>
  <si>
    <t>Gaines</t>
  </si>
  <si>
    <t>Rent and Run</t>
  </si>
  <si>
    <t>ntegrity@verizon.net</t>
  </si>
  <si>
    <t>555-1884</t>
  </si>
  <si>
    <t>82 Bridge St</t>
  </si>
  <si>
    <t>Reading</t>
  </si>
  <si>
    <t>MI</t>
  </si>
  <si>
    <t>John</t>
  </si>
  <si>
    <t>Hill</t>
  </si>
  <si>
    <t>Clarion Supplies</t>
  </si>
  <si>
    <t>grinder@verizon.net</t>
  </si>
  <si>
    <t>555-9088</t>
  </si>
  <si>
    <t>82 Day St</t>
  </si>
  <si>
    <t>Sumner</t>
  </si>
  <si>
    <t>Sloan</t>
  </si>
  <si>
    <t>Get in There Corp</t>
  </si>
  <si>
    <t>pkplex@yahoo.ca</t>
  </si>
  <si>
    <t>555-2022</t>
  </si>
  <si>
    <t>82 Gulf Rd</t>
  </si>
  <si>
    <t>Harry</t>
  </si>
  <si>
    <t>Gittes</t>
  </si>
  <si>
    <t>Bridgewater Corp</t>
  </si>
  <si>
    <t>ghost@icloud.com</t>
  </si>
  <si>
    <t>555-8617</t>
  </si>
  <si>
    <t>Legal</t>
  </si>
  <si>
    <t>82 Harriet Ave</t>
  </si>
  <si>
    <t>Paul</t>
  </si>
  <si>
    <t>Krapence</t>
  </si>
  <si>
    <t>Food for Thought</t>
  </si>
  <si>
    <t>bmorrow@comcast.net</t>
  </si>
  <si>
    <t>555-3256</t>
  </si>
  <si>
    <t>64 Bayberry Cmn</t>
  </si>
  <si>
    <t>First Name</t>
  </si>
  <si>
    <t>Last Name</t>
  </si>
  <si>
    <t>Email</t>
  </si>
  <si>
    <t>Phone</t>
  </si>
  <si>
    <t>Zip</t>
  </si>
  <si>
    <t>☹</t>
  </si>
  <si>
    <t>EmojiOne Color</t>
  </si>
  <si>
    <t>Wingdings CHAR</t>
  </si>
  <si>
    <t>symbol Insert</t>
  </si>
  <si>
    <t>Using BUDGET cell G23</t>
  </si>
  <si>
    <t>$B$37</t>
  </si>
  <si>
    <t>$B$38</t>
  </si>
  <si>
    <t>$B$39</t>
  </si>
  <si>
    <t>Worst Case</t>
  </si>
  <si>
    <t>Created by Mark on 26/04/2023</t>
  </si>
  <si>
    <t>Bese Case</t>
  </si>
  <si>
    <t>Mid Case</t>
  </si>
  <si>
    <t>Created by Mark on 26/04/2023
Modified by Mark on 26/04/2023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</si>
  <si>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</si>
  <si>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</si>
  <si>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</si>
  <si>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</si>
  <si>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</si>
  <si>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</si>
  <si>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</si>
  <si>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Id</t>
  </si>
  <si>
    <t>Supplier</t>
  </si>
  <si>
    <t>Date</t>
  </si>
  <si>
    <t>Role</t>
  </si>
  <si>
    <t>Address</t>
  </si>
  <si>
    <t>Town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</si>
</sst>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&quot;$&quot;#,##0.00_);[Red]\(&quot;$&quot;#,##0.00\)"/>
    <numFmt numFmtId="165" formatCode="_(* #,##0.00_);_(* \(#,##0.00\);_(* &quot;-&quot;??_);_(@_)"/>
    <numFmt numFmtId="166" formatCode="mmm\-yyyy"/>
    <numFmt numFmtId="167" formatCode="0.0%"/>
    <numFmt numFmtId="168" formatCode="00000"/>
    <numFmt numFmtId="169" formatCode="mm/dd/yy;@"/>
    <numFmt numFmtId="170" formatCode="&quot;£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EmojiOne Col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9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166" fontId="4" fillId="4" borderId="1" applyNumberFormat="0"/>
  </cellStyleXfs>
  <cellXfs count="64">
    <xf numFmtId="0" fontId="0" fillId="0" borderId="0" xfId="0"/>
    <xf numFmtId="166" fontId="4" fillId="4" borderId="1" xfId="4" applyNumberFormat="1"/>
    <xf numFmtId="10" fontId="0" fillId="0" borderId="0" xfId="0" applyNumberFormat="1"/>
    <xf numFmtId="167" fontId="0" fillId="0" borderId="0" xfId="0" applyNumberFormat="1"/>
    <xf numFmtId="164" fontId="0" fillId="0" borderId="0" xfId="0" applyNumberFormat="1"/>
    <xf numFmtId="165" fontId="0" fillId="0" borderId="0" xfId="1" applyFont="1" applyAlignment="1">
      <alignment horizontal="right"/>
    </xf>
    <xf numFmtId="165" fontId="1" fillId="3" borderId="0" xfId="3" applyNumberFormat="1" applyAlignment="1">
      <alignment horizontal="right"/>
    </xf>
    <xf numFmtId="0" fontId="2" fillId="0" borderId="0" xfId="0" applyFont="1"/>
    <xf numFmtId="164" fontId="2" fillId="0" borderId="0" xfId="0" applyNumberFormat="1" applyFont="1"/>
    <xf numFmtId="166" fontId="4" fillId="4" borderId="1" xfId="4"/>
    <xf numFmtId="0" fontId="0" fillId="0" borderId="0" xfId="0" applyAlignment="1">
      <alignment horizontal="left"/>
    </xf>
    <xf numFmtId="0" fontId="1" fillId="3" borderId="0" xfId="3" applyAlignment="1">
      <alignment horizontal="left"/>
    </xf>
    <xf numFmtId="165" fontId="1" fillId="3" borderId="0" xfId="3" applyNumberFormat="1"/>
    <xf numFmtId="0" fontId="1" fillId="3" borderId="0" xfId="3"/>
    <xf numFmtId="167" fontId="1" fillId="3" borderId="0" xfId="3" applyNumberFormat="1"/>
    <xf numFmtId="165" fontId="0" fillId="0" borderId="0" xfId="1" applyFont="1"/>
    <xf numFmtId="165" fontId="4" fillId="4" borderId="1" xfId="4" applyNumberFormat="1"/>
    <xf numFmtId="0" fontId="2" fillId="2" borderId="0" xfId="2" applyFont="1" applyAlignment="1">
      <alignment horizontal="left"/>
    </xf>
    <xf numFmtId="17" fontId="0" fillId="0" borderId="0" xfId="0" applyNumberFormat="1"/>
    <xf numFmtId="0" fontId="2" fillId="2" borderId="0" xfId="2" applyFont="1"/>
    <xf numFmtId="4" fontId="0" fillId="0" borderId="0" xfId="0" applyNumberFormat="1"/>
    <xf numFmtId="4" fontId="1" fillId="3" borderId="0" xfId="3" applyNumberFormat="1"/>
    <xf numFmtId="4" fontId="0" fillId="0" borderId="0" xfId="1" applyNumberFormat="1" applyFont="1"/>
    <xf numFmtId="4" fontId="2" fillId="2" borderId="0" xfId="2" applyNumberFormat="1" applyFont="1"/>
    <xf numFmtId="165" fontId="0" fillId="0" borderId="0" xfId="0" applyNumberFormat="1" applyAlignment="1">
      <alignment horizontal="right"/>
    </xf>
    <xf numFmtId="165" fontId="0" fillId="0" borderId="0" xfId="0" applyNumberFormat="1"/>
    <xf numFmtId="164" fontId="0" fillId="0" borderId="0" xfId="1" applyNumberFormat="1" applyFont="1" applyAlignment="1">
      <alignment horizontal="right"/>
    </xf>
    <xf numFmtId="164" fontId="0" fillId="0" borderId="0" xfId="1" applyNumberFormat="1" applyFont="1"/>
    <xf numFmtId="165" fontId="2" fillId="2" borderId="0" xfId="2" applyNumberFormat="1" applyFont="1"/>
    <xf numFmtId="0" fontId="5" fillId="0" borderId="0" xfId="0" applyFont="1"/>
    <xf numFmtId="0" fontId="4" fillId="4" borderId="1" xfId="4" applyNumberFormat="1"/>
    <xf numFmtId="164" fontId="0" fillId="0" borderId="0" xfId="0" applyNumberFormat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5" fontId="1" fillId="3" borderId="0" xfId="3" applyNumberFormat="1" applyAlignment="1" applyProtection="1">
      <alignment horizontal="right"/>
      <protection locked="0"/>
    </xf>
    <xf numFmtId="165" fontId="1" fillId="3" borderId="0" xfId="3" applyNumberFormat="1" applyProtection="1">
      <protection locked="0"/>
    </xf>
    <xf numFmtId="165" fontId="0" fillId="0" borderId="0" xfId="1" applyFont="1" applyAlignment="1" applyProtection="1">
      <alignment horizontal="right"/>
      <protection locked="0"/>
    </xf>
    <xf numFmtId="165" fontId="0" fillId="0" borderId="0" xfId="1" applyFont="1" applyProtection="1">
      <protection locked="0"/>
    </xf>
    <xf numFmtId="0" fontId="4" fillId="4" borderId="0" xfId="4" applyNumberFormat="1" applyBorder="1"/>
    <xf numFmtId="9" fontId="0" fillId="0" borderId="0" xfId="0" applyNumberFormat="1" applyAlignment="1">
      <alignment horizontal="center"/>
    </xf>
    <xf numFmtId="0" fontId="0" fillId="6" borderId="2" xfId="0" applyFill="1" applyBorder="1"/>
    <xf numFmtId="0" fontId="0" fillId="6" borderId="3" xfId="0" applyFill="1" applyBorder="1"/>
    <xf numFmtId="168" fontId="0" fillId="6" borderId="4" xfId="0" applyNumberFormat="1" applyFill="1" applyBorder="1"/>
    <xf numFmtId="0" fontId="0" fillId="0" borderId="2" xfId="0" applyBorder="1"/>
    <xf numFmtId="0" fontId="0" fillId="0" borderId="3" xfId="0" applyBorder="1"/>
    <xf numFmtId="168" fontId="0" fillId="0" borderId="4" xfId="0" applyNumberFormat="1" applyBorder="1"/>
    <xf numFmtId="169" fontId="0" fillId="6" borderId="3" xfId="0" applyNumberFormat="1" applyFill="1" applyBorder="1"/>
    <xf numFmtId="169" fontId="0" fillId="0" borderId="3" xfId="0" applyNumberFormat="1" applyBorder="1"/>
    <xf numFmtId="0" fontId="0" fillId="6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0" xfId="0" applyFont="1"/>
    <xf numFmtId="8" fontId="0" fillId="0" borderId="0" xfId="0" applyNumberFormat="1"/>
    <xf numFmtId="170" fontId="0" fillId="0" borderId="0" xfId="0" applyNumberFormat="1"/>
    <xf numFmtId="0" fontId="0" fillId="0" borderId="6" xfId="0" applyBorder="1"/>
    <xf numFmtId="0" fontId="7" fillId="7" borderId="7" xfId="0" applyFont="1" applyFill="1" applyBorder="1" applyAlignment="1">
      <alignment horizontal="left"/>
    </xf>
    <xf numFmtId="0" fontId="7" fillId="7" borderId="5" xfId="0" applyFont="1" applyFill="1" applyBorder="1" applyAlignment="1">
      <alignment horizontal="left"/>
    </xf>
    <xf numFmtId="0" fontId="0" fillId="0" borderId="8" xfId="0" applyBorder="1"/>
    <xf numFmtId="0" fontId="8" fillId="8" borderId="0" xfId="0" applyFont="1" applyFill="1" applyAlignment="1">
      <alignment horizontal="left"/>
    </xf>
    <xf numFmtId="0" fontId="9" fillId="8" borderId="8" xfId="0" applyFont="1" applyFill="1" applyBorder="1" applyAlignment="1">
      <alignment horizontal="left"/>
    </xf>
    <xf numFmtId="0" fontId="8" fillId="8" borderId="6" xfId="0" applyFont="1" applyFill="1" applyBorder="1" applyAlignment="1">
      <alignment horizontal="left"/>
    </xf>
    <xf numFmtId="0" fontId="10" fillId="7" borderId="5" xfId="0" applyFont="1" applyFill="1" applyBorder="1" applyAlignment="1">
      <alignment horizontal="right"/>
    </xf>
    <xf numFmtId="0" fontId="10" fillId="7" borderId="7" xfId="0" applyFont="1" applyFill="1" applyBorder="1" applyAlignment="1">
      <alignment horizontal="right"/>
    </xf>
    <xf numFmtId="0" fontId="0" fillId="9" borderId="0" xfId="0" applyFill="1"/>
    <xf numFmtId="0" fontId="11" fillId="0" borderId="0" xfId="0" applyFont="1" applyAlignment="1">
      <alignment vertical="top" wrapText="1"/>
    </xf>
    <xf numFmtId="0" fontId="3" fillId="5" borderId="1" xfId="0" applyFont="1" applyFill="1" applyBorder="1"/>
  </cellXfs>
  <cellStyles count="5">
    <cellStyle name="20% - Accent4" xfId="2" builtinId="42"/>
    <cellStyle name="20% - Accent5" xfId="3" builtinId="46"/>
    <cellStyle name="Comma" xfId="1" builtinId="3"/>
    <cellStyle name="DateStyle" xfId="4" xr:uid="{F971A822-6C19-46D4-BF0D-FAD21BEAF41C}"/>
    <cellStyle name="Normal" xfId="0" builtinId="0"/>
  </cellStyles>
  <dxfs count="1">
    <dxf>
      <font>
        <b/>
        <i val="0"/>
        <color theme="1"/>
      </font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22</xdr:row>
      <xdr:rowOff>0</xdr:rowOff>
    </xdr:from>
    <xdr:to>
      <xdr:col>7</xdr:col>
      <xdr:colOff>400843</xdr:colOff>
      <xdr:row>23</xdr:row>
      <xdr:rowOff>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54687" y="4394200"/>
          <a:ext cx="234156" cy="1841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</xdr:col>
      <xdr:colOff>123032</xdr:colOff>
      <xdr:row>0</xdr:row>
      <xdr:rowOff>138907</xdr:rowOff>
    </xdr:from>
    <xdr:to>
      <xdr:col>15</xdr:col>
      <xdr:colOff>587377</xdr:colOff>
      <xdr:row>1</xdr:row>
      <xdr:rowOff>610396</xdr:rowOff>
    </xdr:to>
    <xdr:pic>
      <xdr:nvPicPr>
        <xdr:cNvPr id="5" name="Graphic 4" descr="Money outlin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08582" y="138907"/>
          <a:ext cx="464345" cy="46513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torials\Excel%20Tutorial\Book2.xlsx" TargetMode="External"/><Relationship Id="rId1" Type="http://schemas.openxmlformats.org/officeDocument/2006/relationships/externalLinkPath" Target="file:///D:\Tutorials\Excel%20Tutorial\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UDGET"/>
      <sheetName val="QTRBUDGET"/>
      <sheetName val="PROTECTED"/>
      <sheetName val="WHATIF"/>
      <sheetName val="Scenario Summary"/>
      <sheetName val="Sheet3"/>
    </sheetNames>
    <sheetDataSet>
      <sheetData sheetId="0">
        <row r="6">
          <cell r="H6">
            <v>45</v>
          </cell>
          <cell r="I6">
            <v>45</v>
          </cell>
          <cell r="J6">
            <v>45</v>
          </cell>
        </row>
        <row r="7">
          <cell r="H7">
            <v>8.99</v>
          </cell>
          <cell r="I7">
            <v>8.99</v>
          </cell>
          <cell r="J7">
            <v>8.99</v>
          </cell>
        </row>
        <row r="8">
          <cell r="H8">
            <v>4.99</v>
          </cell>
          <cell r="I8">
            <v>0</v>
          </cell>
          <cell r="J8">
            <v>63.98</v>
          </cell>
        </row>
        <row r="9">
          <cell r="H9">
            <v>290.12</v>
          </cell>
          <cell r="I9">
            <v>234.9</v>
          </cell>
          <cell r="J9">
            <v>298.10000000000002</v>
          </cell>
        </row>
        <row r="10">
          <cell r="H10">
            <v>220.76</v>
          </cell>
          <cell r="I10">
            <v>0</v>
          </cell>
          <cell r="J10">
            <v>0</v>
          </cell>
        </row>
        <row r="11">
          <cell r="C11">
            <v>139.53</v>
          </cell>
          <cell r="D11">
            <v>139.53</v>
          </cell>
          <cell r="E11">
            <v>139.53</v>
          </cell>
        </row>
        <row r="12">
          <cell r="C12">
            <v>230.34</v>
          </cell>
          <cell r="D12">
            <v>238.56</v>
          </cell>
          <cell r="E12">
            <v>227.67</v>
          </cell>
        </row>
        <row r="13">
          <cell r="C13">
            <v>101.23</v>
          </cell>
          <cell r="D13">
            <v>117.98</v>
          </cell>
          <cell r="E13">
            <v>98.07</v>
          </cell>
          <cell r="H13">
            <v>393.16</v>
          </cell>
          <cell r="I13">
            <v>45.98</v>
          </cell>
          <cell r="J13">
            <v>32.19</v>
          </cell>
        </row>
        <row r="14">
          <cell r="C14">
            <v>31.17</v>
          </cell>
          <cell r="D14">
            <v>32.979999999999997</v>
          </cell>
          <cell r="E14">
            <v>33.97</v>
          </cell>
        </row>
        <row r="15">
          <cell r="C15">
            <v>0</v>
          </cell>
          <cell r="D15">
            <v>0</v>
          </cell>
          <cell r="E15">
            <v>0</v>
          </cell>
        </row>
        <row r="16">
          <cell r="C16">
            <v>560.41999999999996</v>
          </cell>
          <cell r="D16">
            <v>598.32000000000005</v>
          </cell>
          <cell r="E16">
            <v>604.21</v>
          </cell>
        </row>
        <row r="17">
          <cell r="C17">
            <v>0</v>
          </cell>
          <cell r="D17">
            <v>0</v>
          </cell>
          <cell r="E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</row>
        <row r="21">
          <cell r="C21">
            <v>183.42</v>
          </cell>
          <cell r="D21">
            <v>192.09</v>
          </cell>
          <cell r="E21">
            <v>178.12</v>
          </cell>
        </row>
        <row r="22">
          <cell r="C22">
            <v>0</v>
          </cell>
          <cell r="D22">
            <v>93.4</v>
          </cell>
          <cell r="E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</row>
        <row r="26">
          <cell r="C26">
            <v>123.83</v>
          </cell>
          <cell r="D26">
            <v>123.83</v>
          </cell>
          <cell r="E26">
            <v>123.83</v>
          </cell>
        </row>
        <row r="27">
          <cell r="C27">
            <v>0</v>
          </cell>
          <cell r="D27">
            <v>0</v>
          </cell>
          <cell r="E27">
            <v>0</v>
          </cell>
        </row>
        <row r="28">
          <cell r="C28">
            <v>109</v>
          </cell>
          <cell r="D28">
            <v>109</v>
          </cell>
          <cell r="E28">
            <v>109</v>
          </cell>
        </row>
        <row r="29">
          <cell r="C29">
            <v>0</v>
          </cell>
          <cell r="D29">
            <v>0</v>
          </cell>
          <cell r="E29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thaljef@sbcglobal.net" TargetMode="External"/><Relationship Id="rId7" Type="http://schemas.openxmlformats.org/officeDocument/2006/relationships/hyperlink" Target="mailto:ghost@icloud.com" TargetMode="External"/><Relationship Id="rId2" Type="http://schemas.openxmlformats.org/officeDocument/2006/relationships/hyperlink" Target="mailto:gravyface@aol.com" TargetMode="External"/><Relationship Id="rId1" Type="http://schemas.openxmlformats.org/officeDocument/2006/relationships/hyperlink" Target="mailto:gboss@me.com" TargetMode="External"/><Relationship Id="rId6" Type="http://schemas.openxmlformats.org/officeDocument/2006/relationships/hyperlink" Target="mailto:stomv@icloud.com" TargetMode="External"/><Relationship Id="rId5" Type="http://schemas.openxmlformats.org/officeDocument/2006/relationships/hyperlink" Target="mailto:ozawa@mac.com" TargetMode="External"/><Relationship Id="rId4" Type="http://schemas.openxmlformats.org/officeDocument/2006/relationships/hyperlink" Target="mailto:duchamp@ao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9E6C4-6CBD-42EA-9CE6-94A62B09D1B3}">
  <sheetPr codeName="Sheet1"/>
  <dimension ref="A2:R37"/>
  <sheetViews>
    <sheetView topLeftCell="E4" zoomScale="160" zoomScaleNormal="160" workbookViewId="0">
      <selection activeCell="F10" sqref="F10"/>
    </sheetView>
  </sheetViews>
  <sheetFormatPr defaultRowHeight="15" x14ac:dyDescent="0.25"/>
  <cols>
    <col min="1" max="1" width="19.5703125" bestFit="1" customWidth="1"/>
    <col min="2" max="3" width="10" bestFit="1" customWidth="1"/>
    <col min="4" max="4" width="10.42578125" bestFit="1" customWidth="1"/>
    <col min="6" max="6" width="20" bestFit="1" customWidth="1"/>
    <col min="7" max="7" width="15" bestFit="1" customWidth="1"/>
    <col min="8" max="8" width="15.7109375" bestFit="1" customWidth="1"/>
    <col min="9" max="9" width="10.42578125" bestFit="1" customWidth="1"/>
    <col min="11" max="11" width="25.85546875" bestFit="1" customWidth="1"/>
    <col min="12" max="12" width="9.5703125" bestFit="1" customWidth="1"/>
    <col min="13" max="13" width="9.85546875" bestFit="1" customWidth="1"/>
    <col min="14" max="14" width="10.42578125" bestFit="1" customWidth="1"/>
    <col min="15" max="15" width="10.85546875" bestFit="1" customWidth="1"/>
    <col min="16" max="16" width="9.140625" bestFit="1" customWidth="1"/>
  </cols>
  <sheetData>
    <row r="2" spans="1:16" ht="50.1" customHeight="1" thickBot="1" x14ac:dyDescent="0.5">
      <c r="A2" s="63" t="s">
        <v>0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</row>
    <row r="3" spans="1:16" ht="15.75" thickTop="1" x14ac:dyDescent="0.25"/>
    <row r="4" spans="1:16" ht="16.5" thickBot="1" x14ac:dyDescent="0.3">
      <c r="A4" s="9" t="s">
        <v>1</v>
      </c>
      <c r="B4" s="1">
        <v>44927</v>
      </c>
      <c r="C4" s="1">
        <v>44958</v>
      </c>
      <c r="D4" s="1">
        <v>44986</v>
      </c>
      <c r="F4" s="9" t="s">
        <v>2</v>
      </c>
      <c r="G4" s="1">
        <v>44927</v>
      </c>
      <c r="H4" s="1">
        <v>44958</v>
      </c>
      <c r="I4" s="1">
        <v>44986</v>
      </c>
      <c r="K4" s="9" t="s">
        <v>3</v>
      </c>
      <c r="L4" s="1">
        <v>44927</v>
      </c>
      <c r="M4" s="1">
        <v>44958</v>
      </c>
      <c r="N4" s="1">
        <v>44986</v>
      </c>
      <c r="O4" s="9" t="s">
        <v>49</v>
      </c>
      <c r="P4" s="9" t="s">
        <v>46</v>
      </c>
    </row>
    <row r="5" spans="1:16" ht="15.75" thickTop="1" x14ac:dyDescent="0.25">
      <c r="A5" s="10" t="s">
        <v>4</v>
      </c>
      <c r="B5" s="31">
        <v>8333.24</v>
      </c>
      <c r="C5" s="32">
        <v>8333.24</v>
      </c>
      <c r="D5" s="32">
        <v>8333.24</v>
      </c>
      <c r="F5" s="10" t="s">
        <v>5</v>
      </c>
      <c r="G5" s="31">
        <v>45</v>
      </c>
      <c r="H5" s="32">
        <v>45</v>
      </c>
      <c r="I5" s="32">
        <v>45</v>
      </c>
      <c r="K5" t="s">
        <v>6</v>
      </c>
      <c r="L5" s="3">
        <f>B10/B7</f>
        <v>1.5648674746899256E-2</v>
      </c>
      <c r="M5" s="3">
        <f t="shared" ref="M5:N5" si="0">C10/C7</f>
        <v>1.6157889434317538E-2</v>
      </c>
      <c r="N5" s="3">
        <f t="shared" si="0"/>
        <v>1.6069071787394883E-2</v>
      </c>
      <c r="O5" t="str">
        <f>IF(N5-L5&lt;0, "YES", "NO")</f>
        <v>NO</v>
      </c>
      <c r="P5" s="3">
        <f>AVERAGE(L5:N5)</f>
        <v>1.5958545322870558E-2</v>
      </c>
    </row>
    <row r="6" spans="1:16" x14ac:dyDescent="0.25">
      <c r="A6" s="11" t="s">
        <v>7</v>
      </c>
      <c r="B6" s="33">
        <v>583.16999999999996</v>
      </c>
      <c r="C6" s="34">
        <v>302.17</v>
      </c>
      <c r="D6" s="34">
        <v>349.9</v>
      </c>
      <c r="F6" s="11" t="s">
        <v>8</v>
      </c>
      <c r="G6" s="33">
        <v>8.99</v>
      </c>
      <c r="H6" s="34">
        <v>8.99</v>
      </c>
      <c r="I6" s="34">
        <v>8.99</v>
      </c>
      <c r="K6" s="13" t="s">
        <v>9</v>
      </c>
      <c r="L6" s="14">
        <f>B11/B7</f>
        <v>2.5833266976283055E-2</v>
      </c>
      <c r="M6" s="14">
        <f>C11/C7</f>
        <v>2.7625787310619879E-2</v>
      </c>
      <c r="N6" s="14">
        <f>D11/D7</f>
        <v>2.6219777638043382E-2</v>
      </c>
      <c r="O6" t="str">
        <f t="shared" ref="O6:O16" si="1">IF(N6-L6&lt;0, "YES", "NO")</f>
        <v>NO</v>
      </c>
      <c r="P6" s="14">
        <f t="shared" ref="P6:P16" si="2">AVERAGE(L6:N6)</f>
        <v>2.6559610641648773E-2</v>
      </c>
    </row>
    <row r="7" spans="1:16" x14ac:dyDescent="0.25">
      <c r="A7" s="10" t="s">
        <v>10</v>
      </c>
      <c r="B7" s="15">
        <f>B5+B6</f>
        <v>8916.41</v>
      </c>
      <c r="C7" s="15">
        <f t="shared" ref="C7:D7" si="3">C5+C6</f>
        <v>8635.41</v>
      </c>
      <c r="D7" s="15">
        <f t="shared" si="3"/>
        <v>8683.14</v>
      </c>
      <c r="F7" s="10" t="s">
        <v>11</v>
      </c>
      <c r="G7" s="35">
        <v>4.99</v>
      </c>
      <c r="H7" s="36">
        <v>0</v>
      </c>
      <c r="I7" s="36">
        <v>63.98</v>
      </c>
      <c r="K7" t="s">
        <v>12</v>
      </c>
      <c r="L7" s="3">
        <f>B12/B7</f>
        <v>1.1353223999345028E-2</v>
      </c>
      <c r="M7" s="3">
        <f>C12/C7</f>
        <v>1.3662350716410686E-2</v>
      </c>
      <c r="N7" s="3">
        <f>D12/D7</f>
        <v>1.1294301370241641E-2</v>
      </c>
      <c r="O7" t="str">
        <f t="shared" si="1"/>
        <v>YES</v>
      </c>
      <c r="P7" s="3">
        <f t="shared" si="2"/>
        <v>1.2103292028665785E-2</v>
      </c>
    </row>
    <row r="8" spans="1:16" x14ac:dyDescent="0.25">
      <c r="B8" s="15"/>
      <c r="C8" s="15"/>
      <c r="D8" s="15"/>
      <c r="F8" s="11" t="s">
        <v>13</v>
      </c>
      <c r="G8" s="33">
        <v>290.12</v>
      </c>
      <c r="H8" s="34">
        <v>234.9</v>
      </c>
      <c r="I8" s="34">
        <v>298.10000000000002</v>
      </c>
      <c r="K8" s="13" t="s">
        <v>14</v>
      </c>
      <c r="L8" s="14">
        <f>B13/B7</f>
        <v>3.4958015613907392E-3</v>
      </c>
      <c r="M8" s="14">
        <f>C13/C7</f>
        <v>3.8191585576133613E-3</v>
      </c>
      <c r="N8" s="14">
        <f>D13/D7</f>
        <v>3.9121792347008109E-3</v>
      </c>
      <c r="O8" t="str">
        <f t="shared" si="1"/>
        <v>NO</v>
      </c>
      <c r="P8" s="14">
        <f t="shared" si="2"/>
        <v>3.7423797845683037E-3</v>
      </c>
    </row>
    <row r="9" spans="1:16" ht="16.5" thickBot="1" x14ac:dyDescent="0.3">
      <c r="A9" s="9" t="s">
        <v>15</v>
      </c>
      <c r="B9" s="16"/>
      <c r="C9" s="16"/>
      <c r="D9" s="16"/>
      <c r="F9" s="10" t="s">
        <v>16</v>
      </c>
      <c r="G9" s="35">
        <v>220.76</v>
      </c>
      <c r="H9" s="36">
        <v>0</v>
      </c>
      <c r="I9" s="36">
        <v>0</v>
      </c>
      <c r="K9" t="s">
        <v>17</v>
      </c>
      <c r="L9" s="3">
        <f>B15/B7</f>
        <v>6.2852650337972341E-2</v>
      </c>
      <c r="M9" s="3">
        <f>C15/C7</f>
        <v>6.9286808617077825E-2</v>
      </c>
      <c r="N9" s="3">
        <f>D15/D7</f>
        <v>6.9584274813028479E-2</v>
      </c>
      <c r="O9" t="str">
        <f t="shared" si="1"/>
        <v>NO</v>
      </c>
      <c r="P9" s="3">
        <f t="shared" si="2"/>
        <v>6.7241244589359553E-2</v>
      </c>
    </row>
    <row r="10" spans="1:16" ht="15.75" thickTop="1" x14ac:dyDescent="0.25">
      <c r="A10" s="10" t="s">
        <v>6</v>
      </c>
      <c r="B10" s="35">
        <v>139.53</v>
      </c>
      <c r="C10" s="36">
        <v>139.53</v>
      </c>
      <c r="D10" s="36">
        <v>139.53</v>
      </c>
      <c r="G10" s="15"/>
      <c r="H10" s="15"/>
      <c r="I10" s="15"/>
      <c r="K10" s="13" t="s">
        <v>18</v>
      </c>
      <c r="L10" s="14">
        <f>B20/B7</f>
        <v>2.0571059428626543E-2</v>
      </c>
      <c r="M10" s="14">
        <f>C20/C7</f>
        <v>2.2244456256275035E-2</v>
      </c>
      <c r="N10" s="14">
        <f>D20/D7</f>
        <v>2.051331661127196E-2</v>
      </c>
      <c r="O10" t="str">
        <f t="shared" si="1"/>
        <v>YES</v>
      </c>
      <c r="P10" s="14">
        <f t="shared" si="2"/>
        <v>2.1109610765391178E-2</v>
      </c>
    </row>
    <row r="11" spans="1:16" ht="16.5" thickBot="1" x14ac:dyDescent="0.3">
      <c r="A11" s="11" t="s">
        <v>9</v>
      </c>
      <c r="B11" s="33">
        <v>230.34</v>
      </c>
      <c r="C11" s="34">
        <v>238.56</v>
      </c>
      <c r="D11" s="34">
        <v>227.67</v>
      </c>
      <c r="F11" s="9" t="s">
        <v>19</v>
      </c>
      <c r="G11" s="16"/>
      <c r="H11" s="16"/>
      <c r="I11" s="16"/>
      <c r="K11" t="s">
        <v>20</v>
      </c>
      <c r="L11" s="3">
        <f>B25/B7</f>
        <v>1.3887876398685122E-2</v>
      </c>
      <c r="M11" s="3">
        <f>C25/C7</f>
        <v>1.4339793941457325E-2</v>
      </c>
      <c r="N11" s="3">
        <f>D25/D7</f>
        <v>1.4260970109891124E-2</v>
      </c>
      <c r="O11" t="str">
        <f t="shared" si="1"/>
        <v>NO</v>
      </c>
      <c r="P11" s="3">
        <f t="shared" si="2"/>
        <v>1.4162880150011188E-2</v>
      </c>
    </row>
    <row r="12" spans="1:16" ht="15.75" thickTop="1" x14ac:dyDescent="0.25">
      <c r="A12" s="10" t="s">
        <v>12</v>
      </c>
      <c r="B12" s="35">
        <v>101.23</v>
      </c>
      <c r="C12" s="36">
        <v>117.98</v>
      </c>
      <c r="D12" s="36">
        <v>98.07</v>
      </c>
      <c r="F12" s="10" t="s">
        <v>21</v>
      </c>
      <c r="G12" s="35">
        <v>393.16</v>
      </c>
      <c r="H12" s="36">
        <v>45.98</v>
      </c>
      <c r="I12" s="36">
        <v>32.19</v>
      </c>
      <c r="K12" s="13" t="s">
        <v>22</v>
      </c>
      <c r="L12" s="14">
        <f>B27/B7</f>
        <v>1.2224650952569477E-2</v>
      </c>
      <c r="M12" s="14">
        <f>C27/C7</f>
        <v>1.2622446415398921E-2</v>
      </c>
      <c r="N12" s="14">
        <f>D27/D7</f>
        <v>1.2553062601777699E-2</v>
      </c>
      <c r="O12" t="str">
        <f t="shared" si="1"/>
        <v>NO</v>
      </c>
      <c r="P12" s="14">
        <f t="shared" si="2"/>
        <v>1.2466719989915366E-2</v>
      </c>
    </row>
    <row r="13" spans="1:16" x14ac:dyDescent="0.25">
      <c r="A13" s="11" t="s">
        <v>14</v>
      </c>
      <c r="B13" s="33">
        <v>31.17</v>
      </c>
      <c r="C13" s="34">
        <v>32.979999999999997</v>
      </c>
      <c r="D13" s="34">
        <v>33.97</v>
      </c>
      <c r="G13" s="15"/>
      <c r="H13" s="15"/>
      <c r="I13" s="15"/>
      <c r="K13" t="s">
        <v>5</v>
      </c>
      <c r="L13" s="3">
        <f>G5/B7</f>
        <v>5.0468742464736373E-3</v>
      </c>
      <c r="M13" s="3">
        <f>H5/C7</f>
        <v>5.2111017311279951E-3</v>
      </c>
      <c r="N13" s="3">
        <f>I5/D7</f>
        <v>5.1824570374311603E-3</v>
      </c>
      <c r="O13" t="str">
        <f t="shared" si="1"/>
        <v>NO</v>
      </c>
      <c r="P13" s="3">
        <f t="shared" si="2"/>
        <v>5.1468110050109312E-3</v>
      </c>
    </row>
    <row r="14" spans="1:16" ht="16.5" thickBot="1" x14ac:dyDescent="0.3">
      <c r="A14" s="10" t="s">
        <v>23</v>
      </c>
      <c r="B14" s="35">
        <v>0</v>
      </c>
      <c r="C14" s="36">
        <v>0</v>
      </c>
      <c r="D14" s="36">
        <v>0</v>
      </c>
      <c r="F14" s="9" t="s">
        <v>24</v>
      </c>
      <c r="G14" s="16"/>
      <c r="H14" s="16"/>
      <c r="I14" s="16"/>
      <c r="K14" s="13" t="s">
        <v>8</v>
      </c>
      <c r="L14" s="14">
        <f>G6/B7</f>
        <v>1.0082533216844E-3</v>
      </c>
      <c r="M14" s="14">
        <f>H6/C7</f>
        <v>1.0410623236186817E-3</v>
      </c>
      <c r="N14" s="14">
        <f>I6/D7</f>
        <v>1.0353397503668029E-3</v>
      </c>
      <c r="O14" t="str">
        <f t="shared" si="1"/>
        <v>NO</v>
      </c>
      <c r="P14" s="14">
        <f t="shared" si="2"/>
        <v>1.0282184652232948E-3</v>
      </c>
    </row>
    <row r="15" spans="1:16" ht="15.75" thickTop="1" x14ac:dyDescent="0.25">
      <c r="A15" s="11" t="s">
        <v>17</v>
      </c>
      <c r="B15" s="33">
        <v>560.41999999999996</v>
      </c>
      <c r="C15" s="34">
        <v>598.32000000000005</v>
      </c>
      <c r="D15" s="34">
        <v>604.21</v>
      </c>
      <c r="F15" s="10" t="s">
        <v>25</v>
      </c>
      <c r="G15" s="15">
        <f>B7*0.08481</f>
        <v>756.20073209999998</v>
      </c>
      <c r="H15" s="15">
        <f>C7*0.08481</f>
        <v>732.36912209999991</v>
      </c>
      <c r="I15" s="15">
        <f>D7*0.08481</f>
        <v>736.41710339999997</v>
      </c>
      <c r="K15" t="s">
        <v>11</v>
      </c>
      <c r="L15" s="3">
        <f>G7/B7</f>
        <v>5.5964227755341E-4</v>
      </c>
      <c r="M15" s="3">
        <f>H7/C7</f>
        <v>0</v>
      </c>
      <c r="N15" s="3">
        <f>I7/D7</f>
        <v>7.3683022501076804E-3</v>
      </c>
      <c r="O15" t="str">
        <f t="shared" si="1"/>
        <v>NO</v>
      </c>
      <c r="P15" s="3">
        <f t="shared" si="2"/>
        <v>2.6426481758870302E-3</v>
      </c>
    </row>
    <row r="16" spans="1:16" x14ac:dyDescent="0.25">
      <c r="A16" s="10" t="s">
        <v>26</v>
      </c>
      <c r="B16" s="35">
        <v>0</v>
      </c>
      <c r="C16" s="36">
        <v>0</v>
      </c>
      <c r="D16" s="36">
        <v>0</v>
      </c>
      <c r="F16" s="11" t="s">
        <v>27</v>
      </c>
      <c r="G16" s="12">
        <f>B7*0.0307</f>
        <v>273.73378700000001</v>
      </c>
      <c r="H16" s="12">
        <f>C7*0.0307</f>
        <v>265.10708700000004</v>
      </c>
      <c r="I16" s="12">
        <f>D7*0.0307</f>
        <v>266.57239800000002</v>
      </c>
      <c r="K16" s="13" t="s">
        <v>13</v>
      </c>
      <c r="L16" s="14">
        <f>G8/B7</f>
        <v>3.25377590308207E-2</v>
      </c>
      <c r="M16" s="14">
        <f>H8/C7</f>
        <v>2.7201951036488134E-2</v>
      </c>
      <c r="N16" s="14">
        <f>I8/D7</f>
        <v>3.4330898730182864E-2</v>
      </c>
      <c r="O16" t="str">
        <f t="shared" si="1"/>
        <v>NO</v>
      </c>
      <c r="P16" s="14">
        <f t="shared" si="2"/>
        <v>3.1356869599163902E-2</v>
      </c>
    </row>
    <row r="17" spans="1:18" x14ac:dyDescent="0.25">
      <c r="A17" s="11" t="s">
        <v>16</v>
      </c>
      <c r="B17" s="33">
        <v>0</v>
      </c>
      <c r="C17" s="34">
        <v>0</v>
      </c>
      <c r="D17" s="34">
        <v>0</v>
      </c>
      <c r="F17" s="10" t="s">
        <v>28</v>
      </c>
      <c r="G17" s="15">
        <f>B7*0.01</f>
        <v>89.164100000000005</v>
      </c>
      <c r="H17" s="15">
        <f>C7*0.01</f>
        <v>86.354100000000003</v>
      </c>
      <c r="I17" s="15">
        <f>D7*0.01</f>
        <v>86.831400000000002</v>
      </c>
    </row>
    <row r="18" spans="1:18" ht="16.5" thickBot="1" x14ac:dyDescent="0.3">
      <c r="B18" s="15"/>
      <c r="C18" s="15"/>
      <c r="D18" s="15"/>
      <c r="F18" s="11" t="s">
        <v>29</v>
      </c>
      <c r="G18" s="12">
        <f>B7*0.0765</f>
        <v>682.10536500000001</v>
      </c>
      <c r="H18" s="12">
        <f>C7*0.0765</f>
        <v>660.60886499999992</v>
      </c>
      <c r="I18" s="12">
        <f>D7*0.0765</f>
        <v>664.26020999999992</v>
      </c>
      <c r="K18" s="9" t="s">
        <v>30</v>
      </c>
      <c r="L18" s="1">
        <v>44927</v>
      </c>
      <c r="M18" s="1">
        <v>44958</v>
      </c>
      <c r="N18" s="1">
        <v>44986</v>
      </c>
      <c r="O18" s="9" t="s">
        <v>31</v>
      </c>
      <c r="P18" s="9" t="s">
        <v>32</v>
      </c>
    </row>
    <row r="19" spans="1:18" ht="17.25" thickTop="1" thickBot="1" x14ac:dyDescent="0.3">
      <c r="A19" s="9" t="s">
        <v>33</v>
      </c>
      <c r="B19" s="16"/>
      <c r="C19" s="16"/>
      <c r="D19" s="16"/>
      <c r="F19" s="10" t="s">
        <v>34</v>
      </c>
      <c r="G19" s="4">
        <f>SUM(G15:G18)</f>
        <v>1801.2039841000001</v>
      </c>
      <c r="H19" s="4">
        <f t="shared" ref="H19:I19" si="4">SUM(H15:H18)</f>
        <v>1744.4391740999999</v>
      </c>
      <c r="I19" s="4">
        <f t="shared" si="4"/>
        <v>1754.0811113999998</v>
      </c>
      <c r="K19" t="s">
        <v>6</v>
      </c>
      <c r="L19" s="24">
        <f t="shared" ref="L19:N22" si="5">B10</f>
        <v>139.53</v>
      </c>
      <c r="M19" s="25">
        <f t="shared" si="5"/>
        <v>139.53</v>
      </c>
      <c r="N19" s="25">
        <f t="shared" si="5"/>
        <v>139.53</v>
      </c>
      <c r="O19" s="20">
        <f>SUM(L19:N19)</f>
        <v>418.59000000000003</v>
      </c>
      <c r="P19" s="2">
        <f>O19/$O$31</f>
        <v>7.4752352362362912E-2</v>
      </c>
      <c r="R19" s="2"/>
    </row>
    <row r="20" spans="1:18" ht="15.75" thickTop="1" x14ac:dyDescent="0.25">
      <c r="A20" s="10" t="s">
        <v>18</v>
      </c>
      <c r="B20" s="35">
        <v>183.42</v>
      </c>
      <c r="C20" s="36">
        <v>192.09</v>
      </c>
      <c r="D20" s="36">
        <v>178.12</v>
      </c>
      <c r="K20" s="13" t="s">
        <v>9</v>
      </c>
      <c r="L20" s="6">
        <f t="shared" si="5"/>
        <v>230.34</v>
      </c>
      <c r="M20" s="12">
        <f t="shared" si="5"/>
        <v>238.56</v>
      </c>
      <c r="N20" s="12">
        <f t="shared" si="5"/>
        <v>227.67</v>
      </c>
      <c r="O20" s="21">
        <f t="shared" ref="O20:O30" si="6">SUM(L20:N20)</f>
        <v>696.56999999999994</v>
      </c>
      <c r="P20" s="2">
        <f t="shared" ref="P20:P30" si="7">O20/$O$31</f>
        <v>0.12439438611780293</v>
      </c>
    </row>
    <row r="21" spans="1:18" x14ac:dyDescent="0.25">
      <c r="A21" s="11" t="s">
        <v>35</v>
      </c>
      <c r="B21" s="33">
        <v>0</v>
      </c>
      <c r="C21" s="34">
        <v>93.4</v>
      </c>
      <c r="D21" s="34">
        <v>0</v>
      </c>
      <c r="F21" s="17" t="s">
        <v>36</v>
      </c>
      <c r="G21" s="28">
        <f>B7-SUM(G26:G30)-G19</f>
        <v>4673.2460159000002</v>
      </c>
      <c r="H21" s="28">
        <f>C7-SUM(H26:H30)-H19</f>
        <v>4910.4108259000004</v>
      </c>
      <c r="I21" s="28">
        <f>D7-SUM(I26:I30)-I19</f>
        <v>4966.3988885999997</v>
      </c>
      <c r="K21" t="s">
        <v>12</v>
      </c>
      <c r="L21" s="5">
        <f t="shared" si="5"/>
        <v>101.23</v>
      </c>
      <c r="M21" s="15">
        <f t="shared" si="5"/>
        <v>117.98</v>
      </c>
      <c r="N21" s="15">
        <f t="shared" si="5"/>
        <v>98.07</v>
      </c>
      <c r="O21" s="22">
        <f t="shared" si="6"/>
        <v>317.27999999999997</v>
      </c>
      <c r="P21" s="2">
        <f t="shared" si="7"/>
        <v>5.6660279408324382E-2</v>
      </c>
    </row>
    <row r="22" spans="1:18" x14ac:dyDescent="0.25">
      <c r="A22" s="10" t="s">
        <v>16</v>
      </c>
      <c r="B22" s="35">
        <v>0</v>
      </c>
      <c r="C22" s="36">
        <v>0</v>
      </c>
      <c r="D22" s="36">
        <v>0</v>
      </c>
      <c r="K22" s="13" t="s">
        <v>14</v>
      </c>
      <c r="L22" s="6">
        <f t="shared" si="5"/>
        <v>31.17</v>
      </c>
      <c r="M22" s="12">
        <f t="shared" si="5"/>
        <v>32.979999999999997</v>
      </c>
      <c r="N22" s="12">
        <f t="shared" si="5"/>
        <v>33.97</v>
      </c>
      <c r="O22" s="21">
        <f t="shared" si="6"/>
        <v>98.12</v>
      </c>
      <c r="P22" s="2">
        <f t="shared" si="7"/>
        <v>1.7522398561348931E-2</v>
      </c>
    </row>
    <row r="23" spans="1:18" x14ac:dyDescent="0.25">
      <c r="B23" s="15"/>
      <c r="C23" s="15"/>
      <c r="D23" s="15"/>
      <c r="F23" s="7" t="s">
        <v>37</v>
      </c>
      <c r="G23" s="8">
        <f>AVERAGE(G21:I21)</f>
        <v>4850.0185768000001</v>
      </c>
      <c r="K23" t="s">
        <v>17</v>
      </c>
      <c r="L23" s="5">
        <f>B15</f>
        <v>560.41999999999996</v>
      </c>
      <c r="M23" s="15">
        <f>C15</f>
        <v>598.32000000000005</v>
      </c>
      <c r="N23" s="15">
        <f>D15</f>
        <v>604.21</v>
      </c>
      <c r="O23" s="22">
        <f t="shared" si="6"/>
        <v>1762.95</v>
      </c>
      <c r="P23" s="2">
        <f t="shared" si="7"/>
        <v>0.31482992808530469</v>
      </c>
    </row>
    <row r="24" spans="1:18" ht="16.5" thickBot="1" x14ac:dyDescent="0.3">
      <c r="A24" s="9" t="s">
        <v>38</v>
      </c>
      <c r="B24" s="16"/>
      <c r="C24" s="16"/>
      <c r="D24" s="16"/>
      <c r="F24" s="18"/>
      <c r="K24" s="13" t="s">
        <v>18</v>
      </c>
      <c r="L24" s="6">
        <f>B20</f>
        <v>183.42</v>
      </c>
      <c r="M24" s="12">
        <f>C20</f>
        <v>192.09</v>
      </c>
      <c r="N24" s="12">
        <f>D20</f>
        <v>178.12</v>
      </c>
      <c r="O24" s="21">
        <f t="shared" si="6"/>
        <v>553.63</v>
      </c>
      <c r="P24" s="2">
        <f t="shared" si="7"/>
        <v>9.8867973048508029E-2</v>
      </c>
    </row>
    <row r="25" spans="1:18" ht="17.25" thickTop="1" thickBot="1" x14ac:dyDescent="0.3">
      <c r="A25" s="10" t="s">
        <v>39</v>
      </c>
      <c r="B25" s="35">
        <v>123.83</v>
      </c>
      <c r="C25" s="36">
        <v>123.83</v>
      </c>
      <c r="D25" s="36">
        <v>123.83</v>
      </c>
      <c r="G25" s="1">
        <v>44927</v>
      </c>
      <c r="H25" s="1">
        <v>44958</v>
      </c>
      <c r="I25" s="1">
        <v>44986</v>
      </c>
      <c r="K25" t="s">
        <v>20</v>
      </c>
      <c r="L25" s="5">
        <f>B25</f>
        <v>123.83</v>
      </c>
      <c r="M25" s="15">
        <f>C25</f>
        <v>123.83</v>
      </c>
      <c r="N25" s="15">
        <f>D25</f>
        <v>123.83</v>
      </c>
      <c r="O25" s="22">
        <f t="shared" si="6"/>
        <v>371.49</v>
      </c>
      <c r="P25" s="2">
        <f t="shared" si="7"/>
        <v>6.6341172457761055E-2</v>
      </c>
    </row>
    <row r="26" spans="1:18" ht="15.75" thickTop="1" x14ac:dyDescent="0.25">
      <c r="A26" s="11" t="s">
        <v>40</v>
      </c>
      <c r="B26" s="33">
        <v>0</v>
      </c>
      <c r="C26" s="34">
        <v>0</v>
      </c>
      <c r="D26" s="34">
        <v>0</v>
      </c>
      <c r="F26" t="s">
        <v>41</v>
      </c>
      <c r="G26">
        <f>SUM(ho_m_1)</f>
        <v>1062.69</v>
      </c>
      <c r="H26">
        <f>SUM(ho_m_2)</f>
        <v>1127.3700000000001</v>
      </c>
      <c r="I26">
        <f>SUM(ho_m_3)</f>
        <v>1103.45</v>
      </c>
      <c r="K26" s="13" t="s">
        <v>22</v>
      </c>
      <c r="L26" s="6">
        <f>B27</f>
        <v>109</v>
      </c>
      <c r="M26" s="12">
        <f>C27</f>
        <v>109</v>
      </c>
      <c r="N26" s="12">
        <f>D27</f>
        <v>109</v>
      </c>
      <c r="O26" s="21">
        <f t="shared" si="6"/>
        <v>327</v>
      </c>
      <c r="P26" s="2">
        <f t="shared" si="7"/>
        <v>5.8396089783541584E-2</v>
      </c>
    </row>
    <row r="27" spans="1:18" x14ac:dyDescent="0.25">
      <c r="A27" s="10" t="s">
        <v>42</v>
      </c>
      <c r="B27" s="35">
        <v>109</v>
      </c>
      <c r="C27" s="36">
        <v>109</v>
      </c>
      <c r="D27" s="36">
        <v>109</v>
      </c>
      <c r="F27" t="s">
        <v>47</v>
      </c>
      <c r="G27">
        <f>SUM(tr_m_1)</f>
        <v>183.42</v>
      </c>
      <c r="H27">
        <f>SUM(tr_m_2)</f>
        <v>285.49</v>
      </c>
      <c r="I27">
        <f>SUM(tr_m_3)</f>
        <v>178.12</v>
      </c>
      <c r="K27" t="s">
        <v>5</v>
      </c>
      <c r="L27" s="26">
        <f t="shared" ref="L27:N30" si="8">G5</f>
        <v>45</v>
      </c>
      <c r="M27" s="27">
        <f t="shared" si="8"/>
        <v>45</v>
      </c>
      <c r="N27" s="27">
        <f t="shared" si="8"/>
        <v>45</v>
      </c>
      <c r="O27" s="22">
        <f t="shared" si="6"/>
        <v>135</v>
      </c>
      <c r="P27" s="2">
        <f t="shared" si="7"/>
        <v>2.4108477433572213E-2</v>
      </c>
    </row>
    <row r="28" spans="1:18" x14ac:dyDescent="0.25">
      <c r="A28" s="11" t="s">
        <v>16</v>
      </c>
      <c r="B28" s="33">
        <v>0</v>
      </c>
      <c r="C28" s="34">
        <v>0</v>
      </c>
      <c r="D28" s="34">
        <v>0</v>
      </c>
      <c r="F28" t="s">
        <v>43</v>
      </c>
      <c r="G28">
        <f>SUM(in_m_1)</f>
        <v>232.82999999999998</v>
      </c>
      <c r="H28">
        <f>SUM(in_m_2)</f>
        <v>232.82999999999998</v>
      </c>
      <c r="I28">
        <f>SUM(in_m_3)</f>
        <v>232.82999999999998</v>
      </c>
      <c r="K28" s="13" t="s">
        <v>8</v>
      </c>
      <c r="L28" s="6">
        <f t="shared" si="8"/>
        <v>8.99</v>
      </c>
      <c r="M28" s="12">
        <f t="shared" si="8"/>
        <v>8.99</v>
      </c>
      <c r="N28" s="12">
        <f t="shared" si="8"/>
        <v>8.99</v>
      </c>
      <c r="O28" s="21">
        <f t="shared" si="6"/>
        <v>26.97</v>
      </c>
      <c r="P28" s="2">
        <f t="shared" si="7"/>
        <v>4.8163380472847602E-3</v>
      </c>
    </row>
    <row r="29" spans="1:18" x14ac:dyDescent="0.25">
      <c r="F29" t="s">
        <v>44</v>
      </c>
      <c r="G29">
        <f>SUM(en_m_1)</f>
        <v>569.86</v>
      </c>
      <c r="H29">
        <f>SUM(en_m_2)</f>
        <v>288.89</v>
      </c>
      <c r="I29">
        <f>SUM(en_m_3)</f>
        <v>416.07000000000005</v>
      </c>
      <c r="K29" t="s">
        <v>11</v>
      </c>
      <c r="L29" s="5">
        <f t="shared" si="8"/>
        <v>4.99</v>
      </c>
      <c r="M29" s="15">
        <f t="shared" si="8"/>
        <v>0</v>
      </c>
      <c r="N29" s="15">
        <f t="shared" si="8"/>
        <v>63.98</v>
      </c>
      <c r="O29" s="22">
        <f t="shared" si="6"/>
        <v>68.97</v>
      </c>
      <c r="P29" s="2">
        <f t="shared" si="7"/>
        <v>1.2316753248840559E-2</v>
      </c>
    </row>
    <row r="30" spans="1:18" x14ac:dyDescent="0.25">
      <c r="F30" t="s">
        <v>45</v>
      </c>
      <c r="G30">
        <f>SUM(lo_m_1)</f>
        <v>393.16</v>
      </c>
      <c r="H30">
        <f>SUM(lo_m_2)</f>
        <v>45.98</v>
      </c>
      <c r="I30">
        <f>SUM(lo_m_3)</f>
        <v>32.19</v>
      </c>
      <c r="K30" s="13" t="s">
        <v>13</v>
      </c>
      <c r="L30" s="6">
        <f t="shared" si="8"/>
        <v>290.12</v>
      </c>
      <c r="M30" s="12">
        <f t="shared" si="8"/>
        <v>234.9</v>
      </c>
      <c r="N30" s="12">
        <f t="shared" si="8"/>
        <v>298.10000000000002</v>
      </c>
      <c r="O30" s="21">
        <f t="shared" si="6"/>
        <v>823.12</v>
      </c>
      <c r="P30" s="2">
        <f t="shared" si="7"/>
        <v>0.14699385144534785</v>
      </c>
    </row>
    <row r="31" spans="1:18" x14ac:dyDescent="0.25">
      <c r="K31" s="19" t="s">
        <v>31</v>
      </c>
      <c r="L31" s="28">
        <f>SUM(L19:L30)</f>
        <v>1828.04</v>
      </c>
      <c r="M31" s="28">
        <f>SUM(M19:M30)</f>
        <v>1841.18</v>
      </c>
      <c r="N31" s="28">
        <f>SUM(N19:N30)</f>
        <v>1930.4700000000003</v>
      </c>
      <c r="O31" s="23">
        <f>SUM(O19:O30)</f>
        <v>5599.6900000000005</v>
      </c>
      <c r="P31" s="19"/>
    </row>
    <row r="32" spans="1:18" ht="15.6" customHeight="1" x14ac:dyDescent="0.25">
      <c r="A32" s="29"/>
      <c r="F32" t="s">
        <v>48</v>
      </c>
      <c r="G32" s="29"/>
      <c r="H32" s="29" t="str">
        <f>IF(OR(H8-G8&lt;0, H7-G7&lt;0), CHAR(252), CHAR(251))</f>
        <v>ü</v>
      </c>
      <c r="I32" s="29" t="str">
        <f>IF(OR(I8-H8&lt;0, I7-H7&lt;0), CHAR(252), CHAR(251))</f>
        <v>û</v>
      </c>
      <c r="M32" s="29" t="str">
        <f>IF(M31&lt;L31, CHAR(252), CHAR(251))</f>
        <v>û</v>
      </c>
      <c r="N32" s="29" t="str">
        <f>IF(N31&lt;M31, CHAR(252), CHAR(251))</f>
        <v>û</v>
      </c>
    </row>
    <row r="33" spans="6:11" x14ac:dyDescent="0.25">
      <c r="F33" t="s">
        <v>50</v>
      </c>
      <c r="G33">
        <f>COUNTIF(O5:O16, "Yes")</f>
        <v>2</v>
      </c>
    </row>
    <row r="34" spans="6:11" x14ac:dyDescent="0.25">
      <c r="F34" s="29"/>
    </row>
    <row r="35" spans="6:11" x14ac:dyDescent="0.25">
      <c r="F35" s="29" t="str">
        <f>CHAR(251)</f>
        <v>û</v>
      </c>
      <c r="G35">
        <v>251</v>
      </c>
      <c r="H35" t="s">
        <v>281</v>
      </c>
      <c r="K35" s="29"/>
    </row>
    <row r="36" spans="6:11" x14ac:dyDescent="0.25">
      <c r="F36" s="29" t="str">
        <f>CHAR(252)</f>
        <v>ü</v>
      </c>
      <c r="G36">
        <v>252</v>
      </c>
      <c r="H36" t="s">
        <v>281</v>
      </c>
      <c r="K36" s="29"/>
    </row>
    <row r="37" spans="6:11" ht="15.75" x14ac:dyDescent="0.25">
      <c r="F37" s="49" t="s">
        <v>279</v>
      </c>
      <c r="G37" t="s">
        <v>280</v>
      </c>
      <c r="H37" t="s">
        <v>282</v>
      </c>
    </row>
  </sheetData>
  <mergeCells count="1">
    <mergeCell ref="A2:P2"/>
  </mergeCells>
  <conditionalFormatting sqref="L5:N16">
    <cfRule type="cellIs" dxfId="0" priority="1" operator="greaterThan">
      <formula>0.0275</formula>
    </cfRule>
  </conditionalFormatting>
  <dataValidations count="2">
    <dataValidation allowBlank="1" showInputMessage="1" showErrorMessage="1" promptTitle="Font &amp; Char used" prompt="Wingdings Font Char 252" sqref="G32:H32" xr:uid="{F6F89C39-2F90-4F90-BF1E-CB3CDB3F7C33}"/>
    <dataValidation allowBlank="1" showInputMessage="1" showErrorMessage="1" prompt="Count if they have a value of &quot;Yes&quot; in Perecentage of Income &quot;Decreasing&quot;" sqref="G33" xr:uid="{77BDBA36-EE31-4122-A61F-12224AA9C98E}"/>
  </dataValidations>
  <pageMargins left="0.7" right="0.7" top="0.75" bottom="0.75" header="0.3" footer="0.3"/>
  <cellWatches>
    <cellWatch r="G23"/>
  </cellWatche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0390-697D-4276-95EC-00EA283D7A4B}">
  <sheetPr codeName="Sheet2"/>
  <dimension ref="B2:C3"/>
  <sheetViews>
    <sheetView zoomScale="160" zoomScaleNormal="160" workbookViewId="0">
      <selection activeCell="C2" sqref="C2"/>
    </sheetView>
  </sheetViews>
  <sheetFormatPr defaultRowHeight="15" x14ac:dyDescent="0.25"/>
  <cols>
    <col min="2" max="2" width="19.85546875" bestFit="1" customWidth="1"/>
    <col min="3" max="3" width="14.28515625" customWidth="1"/>
  </cols>
  <sheetData>
    <row r="2" spans="2:3" ht="16.5" thickBot="1" x14ac:dyDescent="0.3">
      <c r="B2" s="30" t="s">
        <v>51</v>
      </c>
      <c r="C2" s="4">
        <f>BUDGET!G23</f>
        <v>4850.0185768000001</v>
      </c>
    </row>
    <row r="3" spans="2:3" ht="15.75" thickTop="1" x14ac:dyDescent="0.25">
      <c r="B3" t="s">
        <v>283</v>
      </c>
    </row>
  </sheetData>
  <pageMargins left="0.7" right="0.7" top="0.75" bottom="0.75" header="0.3" footer="0.3"/>
  <cellWatches>
    <cellWatch r="C2"/>
  </cellWatch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C4E97-0421-4B83-AA42-59C14ABAB154}">
  <sheetPr codeName="Sheet6">
    <outlinePr summaryBelow="0"/>
  </sheetPr>
  <dimension ref="B1:G12"/>
  <sheetViews>
    <sheetView showGridLines="0" workbookViewId="0"/>
  </sheetViews>
  <sheetFormatPr defaultRowHeight="15" outlineLevelRow="1" outlineLevelCol="1" x14ac:dyDescent="0.25"/>
  <cols>
    <col min="3" max="3" width="6.140625" bestFit="1" customWidth="1"/>
    <col min="4" max="7" width="13.140625" bestFit="1" customWidth="1" outlineLevel="1"/>
  </cols>
  <sheetData>
    <row r="1" spans="2:7" ht="15.75" thickBot="1" x14ac:dyDescent="0.3"/>
    <row r="2" spans="2:7" ht="15.75" x14ac:dyDescent="0.25">
      <c r="B2" s="54" t="s">
        <v>292</v>
      </c>
      <c r="C2" s="54"/>
      <c r="D2" s="59"/>
      <c r="E2" s="59"/>
      <c r="F2" s="59"/>
      <c r="G2" s="59"/>
    </row>
    <row r="3" spans="2:7" ht="15.75" collapsed="1" x14ac:dyDescent="0.25">
      <c r="B3" s="53"/>
      <c r="C3" s="53"/>
      <c r="D3" s="60" t="s">
        <v>294</v>
      </c>
      <c r="E3" s="60" t="s">
        <v>287</v>
      </c>
      <c r="F3" s="60" t="s">
        <v>289</v>
      </c>
      <c r="G3" s="60" t="s">
        <v>290</v>
      </c>
    </row>
    <row r="4" spans="2:7" ht="45" hidden="1" outlineLevel="1" x14ac:dyDescent="0.25">
      <c r="B4" s="56"/>
      <c r="C4" s="56"/>
      <c r="E4" s="62" t="s">
        <v>288</v>
      </c>
      <c r="F4" s="62" t="s">
        <v>288</v>
      </c>
      <c r="G4" s="62" t="s">
        <v>291</v>
      </c>
    </row>
    <row r="5" spans="2:7" x14ac:dyDescent="0.25">
      <c r="B5" s="57" t="s">
        <v>293</v>
      </c>
      <c r="C5" s="57"/>
      <c r="D5" s="55"/>
      <c r="E5" s="55"/>
      <c r="F5" s="55"/>
      <c r="G5" s="55"/>
    </row>
    <row r="6" spans="2:7" outlineLevel="1" x14ac:dyDescent="0.25">
      <c r="B6" s="56"/>
      <c r="C6" s="56" t="s">
        <v>284</v>
      </c>
      <c r="D6">
        <v>50000</v>
      </c>
      <c r="E6" s="61">
        <v>50000</v>
      </c>
      <c r="F6" s="61">
        <v>150000</v>
      </c>
      <c r="G6" s="61">
        <v>100000</v>
      </c>
    </row>
    <row r="7" spans="2:7" outlineLevel="1" x14ac:dyDescent="0.25">
      <c r="B7" s="56"/>
      <c r="C7" s="56" t="s">
        <v>285</v>
      </c>
      <c r="D7">
        <v>13200</v>
      </c>
      <c r="E7" s="61">
        <v>13200</v>
      </c>
      <c r="F7" s="61">
        <v>26000</v>
      </c>
      <c r="G7" s="61">
        <v>25000</v>
      </c>
    </row>
    <row r="8" spans="2:7" x14ac:dyDescent="0.25">
      <c r="B8" s="57" t="s">
        <v>295</v>
      </c>
      <c r="C8" s="57"/>
      <c r="D8" s="55"/>
      <c r="E8" s="55"/>
      <c r="F8" s="55"/>
      <c r="G8" s="55"/>
    </row>
    <row r="9" spans="2:7" ht="15.75" outlineLevel="1" thickBot="1" x14ac:dyDescent="0.3">
      <c r="B9" s="58"/>
      <c r="C9" s="58" t="s">
        <v>286</v>
      </c>
      <c r="D9" s="52">
        <v>36800</v>
      </c>
      <c r="E9" s="52">
        <v>36800</v>
      </c>
      <c r="F9" s="52">
        <v>124000</v>
      </c>
      <c r="G9" s="52">
        <v>75000</v>
      </c>
    </row>
    <row r="10" spans="2:7" x14ac:dyDescent="0.25">
      <c r="B10" t="s">
        <v>296</v>
      </c>
    </row>
    <row r="11" spans="2:7" x14ac:dyDescent="0.25">
      <c r="B11" t="s">
        <v>297</v>
      </c>
    </row>
    <row r="12" spans="2:7" x14ac:dyDescent="0.25">
      <c r="B12" t="s">
        <v>298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52D6E-DE22-4580-8BE8-B701FD49F0D5}">
  <sheetPr codeName="Sheet3"/>
  <dimension ref="A1:F39"/>
  <sheetViews>
    <sheetView topLeftCell="A25" zoomScale="175" zoomScaleNormal="175" workbookViewId="0">
      <selection activeCell="C37" sqref="C37"/>
    </sheetView>
  </sheetViews>
  <sheetFormatPr defaultRowHeight="15" x14ac:dyDescent="0.25"/>
  <cols>
    <col min="1" max="1" width="25.5703125" bestFit="1" customWidth="1"/>
    <col min="2" max="2" width="13.85546875" bestFit="1" customWidth="1"/>
    <col min="3" max="3" width="7.140625" bestFit="1" customWidth="1"/>
    <col min="4" max="4" width="6.5703125" bestFit="1" customWidth="1"/>
    <col min="5" max="5" width="13.85546875" bestFit="1" customWidth="1"/>
    <col min="6" max="6" width="18.28515625" bestFit="1" customWidth="1"/>
  </cols>
  <sheetData>
    <row r="1" spans="1:6" ht="16.5" thickBot="1" x14ac:dyDescent="0.3">
      <c r="A1" s="30" t="s">
        <v>52</v>
      </c>
      <c r="B1">
        <v>100000</v>
      </c>
    </row>
    <row r="2" spans="1:6" ht="17.25" thickTop="1" thickBot="1" x14ac:dyDescent="0.3">
      <c r="A2" s="30" t="s">
        <v>53</v>
      </c>
      <c r="B2">
        <v>180</v>
      </c>
    </row>
    <row r="3" spans="1:6" ht="17.25" thickTop="1" thickBot="1" x14ac:dyDescent="0.3">
      <c r="A3" s="30" t="s">
        <v>54</v>
      </c>
      <c r="B3">
        <v>7.0209534437187859E-2</v>
      </c>
    </row>
    <row r="4" spans="1:6" ht="17.25" thickTop="1" thickBot="1" x14ac:dyDescent="0.3">
      <c r="A4" s="30" t="s">
        <v>55</v>
      </c>
      <c r="B4" s="51">
        <f>PMT(B3/12,B2,B1)</f>
        <v>-900.00013115506908</v>
      </c>
    </row>
    <row r="5" spans="1:6" ht="15.75" thickTop="1" x14ac:dyDescent="0.25"/>
    <row r="6" spans="1:6" ht="15.75" x14ac:dyDescent="0.25">
      <c r="A6" s="37" t="s">
        <v>56</v>
      </c>
      <c r="B6">
        <v>1697.7340232679899</v>
      </c>
    </row>
    <row r="7" spans="1:6" ht="15.75" x14ac:dyDescent="0.25">
      <c r="A7" s="37" t="s">
        <v>57</v>
      </c>
      <c r="B7">
        <v>0.08</v>
      </c>
    </row>
    <row r="8" spans="1:6" ht="15.75" x14ac:dyDescent="0.25">
      <c r="A8" s="37" t="s">
        <v>58</v>
      </c>
      <c r="B8">
        <v>20</v>
      </c>
    </row>
    <row r="9" spans="1:6" ht="15.75" x14ac:dyDescent="0.25">
      <c r="A9" s="37" t="s">
        <v>59</v>
      </c>
      <c r="B9" s="51">
        <f>FV(B7/12,B8*12,-B6)</f>
        <v>1000000</v>
      </c>
    </row>
    <row r="10" spans="1:6" ht="15.75" x14ac:dyDescent="0.25">
      <c r="A10" s="37" t="s">
        <v>60</v>
      </c>
      <c r="B10">
        <f>(B8*12)*B6</f>
        <v>407456.16558431758</v>
      </c>
    </row>
    <row r="11" spans="1:6" ht="15.75" x14ac:dyDescent="0.25">
      <c r="A11" s="37" t="s">
        <v>61</v>
      </c>
      <c r="B11" s="51">
        <f>B9-B10</f>
        <v>592543.83441568236</v>
      </c>
    </row>
    <row r="13" spans="1:6" ht="16.5" thickBot="1" x14ac:dyDescent="0.3">
      <c r="B13" s="30" t="s">
        <v>64</v>
      </c>
      <c r="C13" s="30" t="s">
        <v>65</v>
      </c>
      <c r="D13" s="30" t="s">
        <v>66</v>
      </c>
      <c r="E13" s="30" t="s">
        <v>67</v>
      </c>
      <c r="F13" s="30" t="s">
        <v>68</v>
      </c>
    </row>
    <row r="14" spans="1:6" ht="16.5" thickTop="1" x14ac:dyDescent="0.25">
      <c r="A14" s="37" t="s">
        <v>63</v>
      </c>
      <c r="B14">
        <v>325</v>
      </c>
      <c r="C14">
        <v>200</v>
      </c>
      <c r="D14">
        <v>95</v>
      </c>
    </row>
    <row r="16" spans="1:6" ht="16.5" thickBot="1" x14ac:dyDescent="0.3">
      <c r="A16" s="30" t="s">
        <v>69</v>
      </c>
      <c r="B16">
        <v>900</v>
      </c>
      <c r="C16">
        <v>800</v>
      </c>
      <c r="D16">
        <v>250</v>
      </c>
      <c r="E16">
        <f>SUMPRODUCT(B16:D16,Units2Order)</f>
        <v>100000</v>
      </c>
      <c r="F16">
        <v>100000</v>
      </c>
    </row>
    <row r="17" spans="1:6" ht="17.25" thickTop="1" thickBot="1" x14ac:dyDescent="0.3">
      <c r="A17" s="30" t="s">
        <v>70</v>
      </c>
      <c r="B17">
        <v>1.75</v>
      </c>
      <c r="C17">
        <v>1</v>
      </c>
      <c r="D17">
        <v>0.55000000000000004</v>
      </c>
      <c r="E17">
        <f>SUMPRODUCT(B17:D17,Units2Order)</f>
        <v>150</v>
      </c>
      <c r="F17">
        <v>150</v>
      </c>
    </row>
    <row r="18" spans="1:6" ht="15.75" thickTop="1" x14ac:dyDescent="0.25"/>
    <row r="19" spans="1:6" ht="16.5" thickBot="1" x14ac:dyDescent="0.3">
      <c r="B19" s="30" t="s">
        <v>64</v>
      </c>
      <c r="C19" s="30" t="s">
        <v>65</v>
      </c>
      <c r="D19" s="30" t="s">
        <v>66</v>
      </c>
      <c r="E19" s="30"/>
      <c r="F19" s="37" t="s">
        <v>71</v>
      </c>
    </row>
    <row r="20" spans="1:6" ht="17.25" thickTop="1" thickBot="1" x14ac:dyDescent="0.3">
      <c r="A20" s="30" t="s">
        <v>72</v>
      </c>
      <c r="B20">
        <v>39.999999999999979</v>
      </c>
      <c r="C20">
        <v>80.000000000000028</v>
      </c>
      <c r="D20">
        <v>0</v>
      </c>
      <c r="F20">
        <f>SUMPRODUCT(PerUnitProfit,Units2Order)</f>
        <v>29000</v>
      </c>
    </row>
    <row r="21" spans="1:6" ht="15.75" thickTop="1" x14ac:dyDescent="0.25"/>
    <row r="23" spans="1:6" ht="15.75" x14ac:dyDescent="0.25">
      <c r="A23" s="37" t="s">
        <v>56</v>
      </c>
      <c r="B23">
        <v>1500</v>
      </c>
    </row>
    <row r="24" spans="1:6" ht="15.75" x14ac:dyDescent="0.25">
      <c r="A24" s="37" t="s">
        <v>62</v>
      </c>
      <c r="B24">
        <v>0.08</v>
      </c>
    </row>
    <row r="25" spans="1:6" ht="15.75" x14ac:dyDescent="0.25">
      <c r="A25" s="37" t="s">
        <v>58</v>
      </c>
      <c r="B25">
        <v>20</v>
      </c>
    </row>
    <row r="27" spans="1:6" ht="15.75" x14ac:dyDescent="0.25">
      <c r="A27" s="37" t="s">
        <v>62</v>
      </c>
      <c r="B27" s="51">
        <f>FV(B24/12,B25*12,-B23)</f>
        <v>883530.62343218573</v>
      </c>
    </row>
    <row r="28" spans="1:6" x14ac:dyDescent="0.25">
      <c r="A28" s="38">
        <v>0.05</v>
      </c>
      <c r="B28" s="50">
        <f t="dataTable" ref="B28:B33" dt2D="0" dtr="0" r1="B24"/>
        <v>616550.50277352298</v>
      </c>
    </row>
    <row r="29" spans="1:6" x14ac:dyDescent="0.25">
      <c r="A29" s="38">
        <v>0.06</v>
      </c>
      <c r="B29" s="50">
        <v>693061.34274219815</v>
      </c>
    </row>
    <row r="30" spans="1:6" x14ac:dyDescent="0.25">
      <c r="A30" s="38">
        <v>7.0000000000000007E-2</v>
      </c>
      <c r="B30" s="50">
        <v>781389.98973827518</v>
      </c>
    </row>
    <row r="31" spans="1:6" x14ac:dyDescent="0.25">
      <c r="A31" s="38">
        <v>0.08</v>
      </c>
      <c r="B31" s="50">
        <v>883530.62343218573</v>
      </c>
    </row>
    <row r="32" spans="1:6" x14ac:dyDescent="0.25">
      <c r="A32" s="38">
        <v>0.09</v>
      </c>
      <c r="B32" s="50">
        <v>1001830.3048945288</v>
      </c>
    </row>
    <row r="33" spans="1:2" x14ac:dyDescent="0.25">
      <c r="A33" s="38">
        <v>0.1</v>
      </c>
      <c r="B33" s="50">
        <v>1139053.2539849395</v>
      </c>
    </row>
    <row r="36" spans="1:2" ht="16.5" thickBot="1" x14ac:dyDescent="0.3">
      <c r="A36" s="30" t="s">
        <v>73</v>
      </c>
    </row>
    <row r="37" spans="1:2" ht="15.75" thickTop="1" x14ac:dyDescent="0.25">
      <c r="A37" t="s">
        <v>74</v>
      </c>
      <c r="B37">
        <v>50000</v>
      </c>
    </row>
    <row r="38" spans="1:2" x14ac:dyDescent="0.25">
      <c r="A38" t="s">
        <v>75</v>
      </c>
      <c r="B38">
        <v>13200</v>
      </c>
    </row>
    <row r="39" spans="1:2" x14ac:dyDescent="0.25">
      <c r="A39" t="s">
        <v>76</v>
      </c>
      <c r="B39">
        <f>B37-B38</f>
        <v>36800</v>
      </c>
    </row>
  </sheetData>
  <scenarios current="2" show="0" sqref="B39">
    <scenario name="Worst Case" locked="1" count="2" user="Mark" comment="Created by Mark on 26/04/2023">
      <inputCells r="B37" val="50000"/>
      <inputCells r="B38" val="13200"/>
    </scenario>
    <scenario name="Bese Case" locked="1" count="2" user="Mark" comment="Created by Mark on 26/04/2023">
      <inputCells r="B37" val="150000"/>
      <inputCells r="B38" val="26000"/>
    </scenario>
    <scenario name="Mid Case" locked="1" count="2" user="Mark" comment="Created by Mark on 26/04/2023_x000a_Modified by Mark on 26/04/2023">
      <inputCells r="B37" val="100000"/>
      <inputCells r="B38" val="25000"/>
    </scenario>
  </scenarios>
  <dataValidations count="2">
    <dataValidation allowBlank="1" showInputMessage="1" showErrorMessage="1" prompt="We divide by 12 since it is an annual interest rate" sqref="B4" xr:uid="{34968612-219D-424E-895B-BECD8DE043C9}"/>
    <dataValidation allowBlank="1" showInputMessage="1" showErrorMessage="1" prompt="Seeing how much to invest before becomming a millionaire" sqref="A9" xr:uid="{097D5416-FDF6-4371-98C2-ACED4EC8A6F2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854DB-172F-487D-AFF0-44CC8C8B8FD2}">
  <sheetPr codeName="Sheet4"/>
  <dimension ref="A1:L27"/>
  <sheetViews>
    <sheetView tabSelected="1" zoomScale="175" zoomScaleNormal="175" workbookViewId="0">
      <selection activeCell="E14" sqref="E14"/>
    </sheetView>
  </sheetViews>
  <sheetFormatPr defaultRowHeight="15" x14ac:dyDescent="0.25"/>
  <cols>
    <col min="1" max="1" width="5" bestFit="1" customWidth="1"/>
    <col min="2" max="2" width="12.85546875" bestFit="1" customWidth="1"/>
    <col min="3" max="3" width="12.42578125" bestFit="1" customWidth="1"/>
    <col min="4" max="4" width="24.140625" bestFit="1" customWidth="1"/>
    <col min="5" max="5" width="23" bestFit="1" customWidth="1"/>
    <col min="6" max="7" width="9" bestFit="1" customWidth="1"/>
    <col min="8" max="8" width="10.85546875" bestFit="1" customWidth="1"/>
    <col min="9" max="9" width="22" bestFit="1" customWidth="1"/>
    <col min="10" max="10" width="11.5703125" bestFit="1" customWidth="1"/>
    <col min="11" max="11" width="7.85546875" bestFit="1" customWidth="1"/>
    <col min="12" max="12" width="6.28515625" bestFit="1" customWidth="1"/>
  </cols>
  <sheetData>
    <row r="1" spans="1:12" x14ac:dyDescent="0.25">
      <c r="A1" s="7" t="s">
        <v>299</v>
      </c>
      <c r="B1" s="7" t="s">
        <v>274</v>
      </c>
      <c r="C1" s="7" t="s">
        <v>275</v>
      </c>
      <c r="D1" s="7" t="s">
        <v>300</v>
      </c>
      <c r="E1" s="7" t="s">
        <v>276</v>
      </c>
      <c r="F1" s="7" t="s">
        <v>277</v>
      </c>
      <c r="G1" s="7" t="s">
        <v>301</v>
      </c>
      <c r="H1" s="7" t="s">
        <v>302</v>
      </c>
      <c r="I1" s="7" t="s">
        <v>303</v>
      </c>
      <c r="J1" s="7" t="s">
        <v>304</v>
      </c>
      <c r="K1" s="7" t="s">
        <v>27</v>
      </c>
      <c r="L1" s="7" t="s">
        <v>278</v>
      </c>
    </row>
    <row r="2" spans="1:12" x14ac:dyDescent="0.25">
      <c r="A2" s="39">
        <v>1</v>
      </c>
      <c r="B2" s="40" t="s">
        <v>77</v>
      </c>
      <c r="C2" s="40" t="s">
        <v>78</v>
      </c>
      <c r="D2" s="40" t="s">
        <v>79</v>
      </c>
      <c r="E2" s="40" t="s">
        <v>80</v>
      </c>
      <c r="F2" s="40" t="s">
        <v>81</v>
      </c>
      <c r="G2" s="45">
        <v>30224</v>
      </c>
      <c r="H2" s="47" t="s">
        <v>82</v>
      </c>
      <c r="I2" s="40" t="s">
        <v>83</v>
      </c>
      <c r="J2" s="40" t="s">
        <v>84</v>
      </c>
      <c r="K2" s="40" t="s">
        <v>85</v>
      </c>
      <c r="L2" s="41">
        <v>83014</v>
      </c>
    </row>
    <row r="3" spans="1:12" x14ac:dyDescent="0.25">
      <c r="A3" s="42">
        <v>2</v>
      </c>
      <c r="B3" s="43" t="s">
        <v>86</v>
      </c>
      <c r="C3" s="43" t="s">
        <v>87</v>
      </c>
      <c r="D3" s="43" t="s">
        <v>88</v>
      </c>
      <c r="E3" s="43" t="s">
        <v>89</v>
      </c>
      <c r="F3" s="43" t="s">
        <v>90</v>
      </c>
      <c r="G3" s="46">
        <v>30224</v>
      </c>
      <c r="H3" s="48" t="s">
        <v>82</v>
      </c>
      <c r="I3" s="43" t="s">
        <v>91</v>
      </c>
      <c r="J3" s="43" t="s">
        <v>92</v>
      </c>
      <c r="K3" s="43" t="s">
        <v>93</v>
      </c>
      <c r="L3" s="44">
        <v>88101</v>
      </c>
    </row>
    <row r="4" spans="1:12" x14ac:dyDescent="0.25">
      <c r="A4" s="39">
        <v>3</v>
      </c>
      <c r="B4" s="40" t="s">
        <v>94</v>
      </c>
      <c r="C4" s="40" t="s">
        <v>95</v>
      </c>
      <c r="D4" s="40" t="s">
        <v>96</v>
      </c>
      <c r="E4" s="40" t="s">
        <v>97</v>
      </c>
      <c r="F4" s="40" t="s">
        <v>98</v>
      </c>
      <c r="G4" s="45">
        <v>30243</v>
      </c>
      <c r="H4" s="47" t="s">
        <v>99</v>
      </c>
      <c r="I4" s="40" t="s">
        <v>100</v>
      </c>
      <c r="J4" s="40" t="s">
        <v>101</v>
      </c>
      <c r="K4" s="40" t="s">
        <v>102</v>
      </c>
      <c r="L4" s="41">
        <v>61329</v>
      </c>
    </row>
    <row r="5" spans="1:12" x14ac:dyDescent="0.25">
      <c r="A5" s="42">
        <v>4</v>
      </c>
      <c r="B5" s="43" t="s">
        <v>103</v>
      </c>
      <c r="C5" s="43" t="s">
        <v>104</v>
      </c>
      <c r="D5" s="43" t="s">
        <v>105</v>
      </c>
      <c r="E5" s="43" t="s">
        <v>106</v>
      </c>
      <c r="F5" s="43" t="s">
        <v>107</v>
      </c>
      <c r="G5" s="46">
        <v>30224</v>
      </c>
      <c r="H5" s="48" t="s">
        <v>99</v>
      </c>
      <c r="I5" s="43" t="s">
        <v>108</v>
      </c>
      <c r="J5" s="43" t="s">
        <v>109</v>
      </c>
      <c r="K5" s="43" t="s">
        <v>110</v>
      </c>
      <c r="L5" s="44">
        <v>43240</v>
      </c>
    </row>
    <row r="6" spans="1:12" x14ac:dyDescent="0.25">
      <c r="A6" s="39">
        <v>5</v>
      </c>
      <c r="B6" s="40" t="s">
        <v>111</v>
      </c>
      <c r="C6" s="40" t="s">
        <v>112</v>
      </c>
      <c r="D6" s="40" t="s">
        <v>113</v>
      </c>
      <c r="E6" s="40" t="s">
        <v>114</v>
      </c>
      <c r="F6" s="40" t="s">
        <v>115</v>
      </c>
      <c r="G6" s="45">
        <v>30306</v>
      </c>
      <c r="H6" s="47" t="s">
        <v>116</v>
      </c>
      <c r="I6" s="40" t="s">
        <v>117</v>
      </c>
      <c r="J6" s="40" t="s">
        <v>118</v>
      </c>
      <c r="K6" s="40" t="s">
        <v>119</v>
      </c>
      <c r="L6" s="41">
        <v>47351</v>
      </c>
    </row>
    <row r="7" spans="1:12" x14ac:dyDescent="0.25">
      <c r="A7" s="42">
        <v>6</v>
      </c>
      <c r="B7" s="43" t="s">
        <v>120</v>
      </c>
      <c r="C7" s="43" t="s">
        <v>95</v>
      </c>
      <c r="D7" s="43" t="s">
        <v>121</v>
      </c>
      <c r="E7" s="43" t="s">
        <v>122</v>
      </c>
      <c r="F7" s="43" t="s">
        <v>123</v>
      </c>
      <c r="G7" s="46">
        <v>30224</v>
      </c>
      <c r="H7" s="48" t="s">
        <v>82</v>
      </c>
      <c r="I7" s="43" t="s">
        <v>124</v>
      </c>
      <c r="J7" s="43" t="s">
        <v>125</v>
      </c>
      <c r="K7" s="43" t="s">
        <v>126</v>
      </c>
      <c r="L7" s="44">
        <v>66052</v>
      </c>
    </row>
    <row r="8" spans="1:12" x14ac:dyDescent="0.25">
      <c r="A8" s="39">
        <v>7</v>
      </c>
      <c r="B8" s="40" t="s">
        <v>127</v>
      </c>
      <c r="C8" s="40" t="s">
        <v>128</v>
      </c>
      <c r="D8" s="40" t="s">
        <v>129</v>
      </c>
      <c r="E8" s="40" t="s">
        <v>130</v>
      </c>
      <c r="F8" s="40" t="s">
        <v>131</v>
      </c>
      <c r="G8" s="45">
        <v>30306</v>
      </c>
      <c r="H8" s="47" t="s">
        <v>132</v>
      </c>
      <c r="I8" s="40" t="s">
        <v>133</v>
      </c>
      <c r="J8" s="40" t="s">
        <v>134</v>
      </c>
      <c r="K8" s="40" t="s">
        <v>135</v>
      </c>
      <c r="L8" s="41">
        <v>23669</v>
      </c>
    </row>
    <row r="9" spans="1:12" x14ac:dyDescent="0.25">
      <c r="A9" s="42">
        <v>8</v>
      </c>
      <c r="B9" s="43" t="s">
        <v>136</v>
      </c>
      <c r="C9" s="43" t="s">
        <v>137</v>
      </c>
      <c r="D9" s="43" t="s">
        <v>138</v>
      </c>
      <c r="E9" s="43" t="s">
        <v>139</v>
      </c>
      <c r="F9" s="43" t="s">
        <v>140</v>
      </c>
      <c r="G9" s="46">
        <v>30306</v>
      </c>
      <c r="H9" s="48" t="s">
        <v>141</v>
      </c>
      <c r="I9" s="43" t="s">
        <v>142</v>
      </c>
      <c r="J9" s="43" t="s">
        <v>143</v>
      </c>
      <c r="K9" s="43" t="s">
        <v>144</v>
      </c>
      <c r="L9" s="44">
        <v>38618</v>
      </c>
    </row>
    <row r="10" spans="1:12" x14ac:dyDescent="0.25">
      <c r="A10" s="39">
        <v>9</v>
      </c>
      <c r="B10" s="40" t="s">
        <v>145</v>
      </c>
      <c r="C10" s="40" t="s">
        <v>146</v>
      </c>
      <c r="D10" s="40" t="s">
        <v>147</v>
      </c>
      <c r="E10" s="40" t="s">
        <v>148</v>
      </c>
      <c r="F10" s="40" t="s">
        <v>149</v>
      </c>
      <c r="G10" s="45">
        <v>30306</v>
      </c>
      <c r="H10" s="47" t="s">
        <v>141</v>
      </c>
      <c r="I10" s="40" t="s">
        <v>150</v>
      </c>
      <c r="J10" s="40" t="s">
        <v>151</v>
      </c>
      <c r="K10" s="40" t="s">
        <v>152</v>
      </c>
      <c r="L10" s="41">
        <v>65001</v>
      </c>
    </row>
    <row r="11" spans="1:12" x14ac:dyDescent="0.25">
      <c r="A11" s="42">
        <v>10</v>
      </c>
      <c r="B11" s="43" t="s">
        <v>153</v>
      </c>
      <c r="C11" s="43" t="s">
        <v>154</v>
      </c>
      <c r="D11" s="43" t="s">
        <v>155</v>
      </c>
      <c r="E11" s="43" t="s">
        <v>156</v>
      </c>
      <c r="F11" s="43" t="s">
        <v>157</v>
      </c>
      <c r="G11" s="46">
        <v>30329</v>
      </c>
      <c r="H11" s="48" t="s">
        <v>141</v>
      </c>
      <c r="I11" s="43" t="s">
        <v>158</v>
      </c>
      <c r="J11" s="43" t="s">
        <v>159</v>
      </c>
      <c r="K11" s="43" t="s">
        <v>160</v>
      </c>
      <c r="L11" s="44">
        <v>2108</v>
      </c>
    </row>
    <row r="12" spans="1:12" x14ac:dyDescent="0.25">
      <c r="A12" s="39">
        <v>11</v>
      </c>
      <c r="B12" s="40" t="s">
        <v>161</v>
      </c>
      <c r="C12" s="40" t="s">
        <v>162</v>
      </c>
      <c r="D12" s="40" t="s">
        <v>163</v>
      </c>
      <c r="E12" s="40" t="s">
        <v>164</v>
      </c>
      <c r="F12" s="40" t="s">
        <v>165</v>
      </c>
      <c r="G12" s="45">
        <v>30336</v>
      </c>
      <c r="H12" s="47" t="s">
        <v>82</v>
      </c>
      <c r="I12" s="40" t="s">
        <v>166</v>
      </c>
      <c r="J12" s="40" t="s">
        <v>167</v>
      </c>
      <c r="K12" s="40" t="s">
        <v>102</v>
      </c>
      <c r="L12" s="41">
        <v>60804</v>
      </c>
    </row>
    <row r="13" spans="1:12" x14ac:dyDescent="0.25">
      <c r="A13" s="42">
        <v>12</v>
      </c>
      <c r="B13" s="43" t="s">
        <v>168</v>
      </c>
      <c r="C13" s="43" t="s">
        <v>169</v>
      </c>
      <c r="D13" s="43" t="s">
        <v>170</v>
      </c>
      <c r="E13" s="43" t="s">
        <v>171</v>
      </c>
      <c r="F13" s="43" t="s">
        <v>172</v>
      </c>
      <c r="G13" s="46">
        <v>30844</v>
      </c>
      <c r="H13" s="48" t="s">
        <v>141</v>
      </c>
      <c r="I13" s="43" t="s">
        <v>173</v>
      </c>
      <c r="J13" s="43" t="s">
        <v>174</v>
      </c>
      <c r="K13" s="43" t="s">
        <v>175</v>
      </c>
      <c r="L13" s="44">
        <v>30008</v>
      </c>
    </row>
    <row r="14" spans="1:12" x14ac:dyDescent="0.25">
      <c r="A14" s="39">
        <v>13</v>
      </c>
      <c r="B14" s="40" t="s">
        <v>176</v>
      </c>
      <c r="C14" s="40" t="s">
        <v>112</v>
      </c>
      <c r="D14" s="40" t="s">
        <v>177</v>
      </c>
      <c r="E14" s="40" t="s">
        <v>178</v>
      </c>
      <c r="F14" s="40" t="s">
        <v>179</v>
      </c>
      <c r="G14" s="45">
        <v>30886</v>
      </c>
      <c r="H14" s="47" t="s">
        <v>180</v>
      </c>
      <c r="I14" s="40" t="s">
        <v>117</v>
      </c>
      <c r="J14" s="40" t="s">
        <v>181</v>
      </c>
      <c r="K14" s="40" t="s">
        <v>182</v>
      </c>
      <c r="L14" s="41">
        <v>50074</v>
      </c>
    </row>
    <row r="15" spans="1:12" x14ac:dyDescent="0.25">
      <c r="A15" s="42">
        <v>14</v>
      </c>
      <c r="B15" s="43" t="s">
        <v>183</v>
      </c>
      <c r="C15" s="43" t="s">
        <v>184</v>
      </c>
      <c r="D15" s="43" t="s">
        <v>185</v>
      </c>
      <c r="E15" s="43" t="s">
        <v>186</v>
      </c>
      <c r="F15" s="43" t="s">
        <v>187</v>
      </c>
      <c r="G15" s="46">
        <v>30890</v>
      </c>
      <c r="H15" s="48" t="s">
        <v>188</v>
      </c>
      <c r="I15" s="43" t="s">
        <v>189</v>
      </c>
      <c r="J15" s="43" t="s">
        <v>190</v>
      </c>
      <c r="K15" s="43" t="s">
        <v>191</v>
      </c>
      <c r="L15" s="44">
        <v>74728</v>
      </c>
    </row>
    <row r="16" spans="1:12" x14ac:dyDescent="0.25">
      <c r="A16" s="39">
        <v>15</v>
      </c>
      <c r="B16" s="40" t="s">
        <v>192</v>
      </c>
      <c r="C16" s="40" t="s">
        <v>104</v>
      </c>
      <c r="D16" s="40" t="s">
        <v>193</v>
      </c>
      <c r="E16" s="40" t="s">
        <v>194</v>
      </c>
      <c r="F16" s="40" t="s">
        <v>107</v>
      </c>
      <c r="G16" s="45">
        <v>30945</v>
      </c>
      <c r="H16" s="47" t="s">
        <v>132</v>
      </c>
      <c r="I16" s="40" t="s">
        <v>108</v>
      </c>
      <c r="J16" s="40" t="s">
        <v>195</v>
      </c>
      <c r="K16" s="40" t="s">
        <v>196</v>
      </c>
      <c r="L16" s="41">
        <v>18216</v>
      </c>
    </row>
    <row r="17" spans="1:12" x14ac:dyDescent="0.25">
      <c r="A17" s="42">
        <v>16</v>
      </c>
      <c r="B17" s="43" t="s">
        <v>197</v>
      </c>
      <c r="C17" s="43" t="s">
        <v>104</v>
      </c>
      <c r="D17" s="43" t="s">
        <v>198</v>
      </c>
      <c r="E17" s="43" t="s">
        <v>199</v>
      </c>
      <c r="F17" s="43" t="s">
        <v>107</v>
      </c>
      <c r="G17" s="46">
        <v>30972</v>
      </c>
      <c r="H17" s="48" t="s">
        <v>99</v>
      </c>
      <c r="I17" s="43" t="s">
        <v>108</v>
      </c>
      <c r="J17" s="43" t="s">
        <v>200</v>
      </c>
      <c r="K17" s="43" t="s">
        <v>201</v>
      </c>
      <c r="L17" s="44">
        <v>53186</v>
      </c>
    </row>
    <row r="18" spans="1:12" x14ac:dyDescent="0.25">
      <c r="A18" s="39">
        <v>17</v>
      </c>
      <c r="B18" s="40" t="s">
        <v>202</v>
      </c>
      <c r="C18" s="40" t="s">
        <v>203</v>
      </c>
      <c r="D18" s="40" t="s">
        <v>204</v>
      </c>
      <c r="E18" s="40" t="s">
        <v>205</v>
      </c>
      <c r="F18" s="40" t="s">
        <v>206</v>
      </c>
      <c r="G18" s="45">
        <v>31031</v>
      </c>
      <c r="H18" s="47" t="s">
        <v>207</v>
      </c>
      <c r="I18" s="40" t="s">
        <v>208</v>
      </c>
      <c r="J18" s="40" t="s">
        <v>209</v>
      </c>
      <c r="K18" s="40" t="s">
        <v>210</v>
      </c>
      <c r="L18" s="41">
        <v>8003</v>
      </c>
    </row>
    <row r="19" spans="1:12" x14ac:dyDescent="0.25">
      <c r="A19" s="42">
        <v>18</v>
      </c>
      <c r="B19" s="43" t="s">
        <v>211</v>
      </c>
      <c r="C19" s="43" t="s">
        <v>212</v>
      </c>
      <c r="D19" s="43" t="s">
        <v>213</v>
      </c>
      <c r="E19" s="43" t="s">
        <v>214</v>
      </c>
      <c r="F19" s="43" t="s">
        <v>215</v>
      </c>
      <c r="G19" s="46">
        <v>31051</v>
      </c>
      <c r="H19" s="48" t="s">
        <v>132</v>
      </c>
      <c r="I19" s="43" t="s">
        <v>216</v>
      </c>
      <c r="J19" s="43" t="s">
        <v>217</v>
      </c>
      <c r="K19" s="43" t="s">
        <v>218</v>
      </c>
      <c r="L19" s="44">
        <v>99553</v>
      </c>
    </row>
    <row r="20" spans="1:12" x14ac:dyDescent="0.25">
      <c r="A20" s="39">
        <v>19</v>
      </c>
      <c r="B20" s="40" t="s">
        <v>219</v>
      </c>
      <c r="C20" s="40" t="s">
        <v>220</v>
      </c>
      <c r="D20" s="40" t="s">
        <v>221</v>
      </c>
      <c r="E20" s="40" t="s">
        <v>222</v>
      </c>
      <c r="F20" s="40" t="s">
        <v>223</v>
      </c>
      <c r="G20" s="45">
        <v>31120</v>
      </c>
      <c r="H20" s="47" t="s">
        <v>141</v>
      </c>
      <c r="I20" s="40" t="s">
        <v>224</v>
      </c>
      <c r="J20" s="40" t="s">
        <v>225</v>
      </c>
      <c r="K20" s="40" t="s">
        <v>226</v>
      </c>
      <c r="L20" s="41">
        <v>83714</v>
      </c>
    </row>
    <row r="21" spans="1:12" x14ac:dyDescent="0.25">
      <c r="A21" s="42">
        <v>20</v>
      </c>
      <c r="B21" s="43" t="s">
        <v>227</v>
      </c>
      <c r="C21" s="43" t="s">
        <v>228</v>
      </c>
      <c r="D21" s="43" t="s">
        <v>229</v>
      </c>
      <c r="E21" s="43" t="s">
        <v>230</v>
      </c>
      <c r="F21" s="43" t="s">
        <v>231</v>
      </c>
      <c r="G21" s="46">
        <v>31210</v>
      </c>
      <c r="H21" s="48" t="s">
        <v>207</v>
      </c>
      <c r="I21" s="43" t="s">
        <v>232</v>
      </c>
      <c r="J21" s="43" t="s">
        <v>233</v>
      </c>
      <c r="K21" s="43" t="s">
        <v>234</v>
      </c>
      <c r="L21" s="44">
        <v>90272</v>
      </c>
    </row>
    <row r="22" spans="1:12" x14ac:dyDescent="0.25">
      <c r="A22" s="39">
        <v>21</v>
      </c>
      <c r="B22" s="40" t="s">
        <v>235</v>
      </c>
      <c r="C22" s="40" t="s">
        <v>128</v>
      </c>
      <c r="D22" s="40" t="s">
        <v>236</v>
      </c>
      <c r="E22" s="40" t="s">
        <v>237</v>
      </c>
      <c r="F22" s="40" t="s">
        <v>238</v>
      </c>
      <c r="G22" s="45">
        <v>31301</v>
      </c>
      <c r="H22" s="47" t="s">
        <v>99</v>
      </c>
      <c r="I22" s="40" t="s">
        <v>239</v>
      </c>
      <c r="J22" s="40" t="s">
        <v>240</v>
      </c>
      <c r="K22" s="40" t="s">
        <v>175</v>
      </c>
      <c r="L22" s="41">
        <v>31054</v>
      </c>
    </row>
    <row r="23" spans="1:12" x14ac:dyDescent="0.25">
      <c r="A23" s="42">
        <v>22</v>
      </c>
      <c r="B23" s="43" t="s">
        <v>241</v>
      </c>
      <c r="C23" s="43" t="s">
        <v>242</v>
      </c>
      <c r="D23" s="43" t="s">
        <v>243</v>
      </c>
      <c r="E23" s="43" t="s">
        <v>244</v>
      </c>
      <c r="F23" s="43" t="s">
        <v>245</v>
      </c>
      <c r="G23" s="46">
        <v>31370</v>
      </c>
      <c r="H23" s="48" t="s">
        <v>141</v>
      </c>
      <c r="I23" s="43" t="s">
        <v>246</v>
      </c>
      <c r="J23" s="43" t="s">
        <v>247</v>
      </c>
      <c r="K23" s="43" t="s">
        <v>248</v>
      </c>
      <c r="L23" s="44">
        <v>49274</v>
      </c>
    </row>
    <row r="24" spans="1:12" x14ac:dyDescent="0.25">
      <c r="A24" s="39">
        <v>23</v>
      </c>
      <c r="B24" s="40" t="s">
        <v>249</v>
      </c>
      <c r="C24" s="40" t="s">
        <v>250</v>
      </c>
      <c r="D24" s="40" t="s">
        <v>251</v>
      </c>
      <c r="E24" s="40" t="s">
        <v>252</v>
      </c>
      <c r="F24" s="40" t="s">
        <v>253</v>
      </c>
      <c r="G24" s="45">
        <v>31572</v>
      </c>
      <c r="H24" s="47" t="s">
        <v>141</v>
      </c>
      <c r="I24" s="40" t="s">
        <v>254</v>
      </c>
      <c r="J24" s="40" t="s">
        <v>167</v>
      </c>
      <c r="K24" s="40" t="s">
        <v>102</v>
      </c>
      <c r="L24" s="41">
        <v>60804</v>
      </c>
    </row>
    <row r="25" spans="1:12" x14ac:dyDescent="0.25">
      <c r="A25" s="42">
        <v>24</v>
      </c>
      <c r="B25" s="43" t="s">
        <v>255</v>
      </c>
      <c r="C25" s="43" t="s">
        <v>256</v>
      </c>
      <c r="D25" s="43" t="s">
        <v>257</v>
      </c>
      <c r="E25" s="43" t="s">
        <v>258</v>
      </c>
      <c r="F25" s="43" t="s">
        <v>259</v>
      </c>
      <c r="G25" s="46">
        <v>31920</v>
      </c>
      <c r="H25" s="48" t="s">
        <v>141</v>
      </c>
      <c r="I25" s="43" t="s">
        <v>260</v>
      </c>
      <c r="J25" s="43" t="s">
        <v>125</v>
      </c>
      <c r="K25" s="43" t="s">
        <v>126</v>
      </c>
      <c r="L25" s="44">
        <v>66052</v>
      </c>
    </row>
    <row r="26" spans="1:12" x14ac:dyDescent="0.25">
      <c r="A26" s="39">
        <v>25</v>
      </c>
      <c r="B26" s="40" t="s">
        <v>261</v>
      </c>
      <c r="C26" s="40" t="s">
        <v>262</v>
      </c>
      <c r="D26" s="40" t="s">
        <v>263</v>
      </c>
      <c r="E26" s="40" t="s">
        <v>264</v>
      </c>
      <c r="F26" s="40" t="s">
        <v>265</v>
      </c>
      <c r="G26" s="45">
        <v>32367</v>
      </c>
      <c r="H26" s="47" t="s">
        <v>266</v>
      </c>
      <c r="I26" s="40" t="s">
        <v>267</v>
      </c>
      <c r="J26" s="40" t="s">
        <v>101</v>
      </c>
      <c r="K26" s="40" t="s">
        <v>102</v>
      </c>
      <c r="L26" s="41">
        <v>61329</v>
      </c>
    </row>
    <row r="27" spans="1:12" x14ac:dyDescent="0.25">
      <c r="A27" s="42">
        <v>26</v>
      </c>
      <c r="B27" s="43" t="s">
        <v>268</v>
      </c>
      <c r="C27" s="43" t="s">
        <v>269</v>
      </c>
      <c r="D27" s="43" t="s">
        <v>270</v>
      </c>
      <c r="E27" s="43" t="s">
        <v>271</v>
      </c>
      <c r="F27" s="43" t="s">
        <v>272</v>
      </c>
      <c r="G27" s="46">
        <v>32506</v>
      </c>
      <c r="H27" s="48" t="s">
        <v>132</v>
      </c>
      <c r="I27" s="43" t="s">
        <v>273</v>
      </c>
      <c r="J27" s="43" t="s">
        <v>151</v>
      </c>
      <c r="K27" s="43" t="s">
        <v>152</v>
      </c>
      <c r="L27" s="44">
        <v>65001</v>
      </c>
    </row>
  </sheetData>
  <autoFilter ref="A1:L1" xr:uid="{C15854DB-172F-487D-AFF0-44CC8C8B8FD2}"/>
  <hyperlinks>
    <hyperlink ref="E3" r:id="rId1" xr:uid="{19EBF4CC-3E7C-44A7-8B1B-56E887675F22}"/>
    <hyperlink ref="E5" r:id="rId2" xr:uid="{28447FA9-B989-4541-AC44-96CA56E477DA}"/>
    <hyperlink ref="E13" r:id="rId3" xr:uid="{1FD358EE-D6C5-4B17-836D-11F56FAF0ACC}"/>
    <hyperlink ref="E15" r:id="rId4" xr:uid="{BD08C744-2AA5-4CBC-AE62-4C002FE638E7}"/>
    <hyperlink ref="E16" r:id="rId5" xr:uid="{96028D41-1D8B-4EC7-ACC2-DB930088477C}"/>
    <hyperlink ref="E17" r:id="rId6" xr:uid="{5973F1B1-59E0-4121-B25E-601150A7A671}"/>
    <hyperlink ref="E26" r:id="rId7" xr:uid="{823094F0-AB8D-4338-B725-0DB3EA83994D}"/>
  </hyperlinks>
  <pageMargins left="0.7" right="0.7" top="0.75" bottom="0.75" header="0.3" footer="0.3"/>
  <pageSetup paperSize="9" orientation="portrait" horizontalDpi="300" verticalDpi="300" r:id="rId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3AD2-F15B-447A-B2B8-949B27E2171E}">
  <sheetPr codeName="Sheet5"/>
  <dimension ref="A1"/>
  <sheetViews>
    <sheetView zoomScale="160" zoomScaleNormal="160" workbookViewId="0">
      <selection sqref="A1:B6"/>
    </sheetView>
  </sheetViews>
  <sheetFormatPr defaultRowHeight="15" x14ac:dyDescent="0.25"/>
  <cols>
    <col min="1" max="1" width="19.42578125" bestFit="1" customWidth="1"/>
    <col min="2" max="2" width="18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20</vt:i4>
      </vt:variant>
    </vt:vector>
  </HeadingPairs>
  <TitlesOfParts>
    <vt:vector size="26" baseType="lpstr">
      <vt:lpstr>BUDGET</vt:lpstr>
      <vt:lpstr>QTRBUDGET</vt:lpstr>
      <vt:lpstr>Scenario Summary</vt:lpstr>
      <vt:lpstr>WHAT</vt:lpstr>
      <vt:lpstr>CUSTOMERS</vt:lpstr>
      <vt:lpstr>WHATIF</vt:lpstr>
      <vt:lpstr>CurrAvail</vt:lpstr>
      <vt:lpstr>CurrUsage</vt:lpstr>
      <vt:lpstr>en_m_1</vt:lpstr>
      <vt:lpstr>en_m_2</vt:lpstr>
      <vt:lpstr>en_m_3</vt:lpstr>
      <vt:lpstr>ho_m_1</vt:lpstr>
      <vt:lpstr>ho_m_2</vt:lpstr>
      <vt:lpstr>ho_m_3</vt:lpstr>
      <vt:lpstr>in_m_1</vt:lpstr>
      <vt:lpstr>in_m_2</vt:lpstr>
      <vt:lpstr>in_m_3</vt:lpstr>
      <vt:lpstr>lo_m_1</vt:lpstr>
      <vt:lpstr>lo_m_2</vt:lpstr>
      <vt:lpstr>lo_m_3</vt:lpstr>
      <vt:lpstr>PerUnitProfit</vt:lpstr>
      <vt:lpstr>TotProfit</vt:lpstr>
      <vt:lpstr>tr_m_1</vt:lpstr>
      <vt:lpstr>tr_m_2</vt:lpstr>
      <vt:lpstr>tr_m_3</vt:lpstr>
      <vt:lpstr>Units2Order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Banas</dc:creator>
  <cp:lastModifiedBy>Mark</cp:lastModifiedBy>
  <dcterms:created xsi:type="dcterms:W3CDTF">2023-03-27T18:36:20Z</dcterms:created>
  <dcterms:modified xsi:type="dcterms:W3CDTF">2023-04-26T11:26:00Z</dcterms:modified>
</cp:coreProperties>
</file>